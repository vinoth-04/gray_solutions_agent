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01" sheetId="1" state="visible" r:id="rId2"/>
    <sheet name="02" sheetId="2" state="visible" r:id="rId3"/>
    <sheet name="03" sheetId="3" state="visible" r:id="rId4"/>
    <sheet name="04" sheetId="4" state="visible" r:id="rId5"/>
    <sheet name="05" sheetId="5" state="visible" r:id="rId6"/>
    <sheet name="06" sheetId="6" state="visible" r:id="rId7"/>
    <sheet name="08" sheetId="7" state="visible" r:id="rId8"/>
    <sheet name="09" sheetId="8" state="visible" r:id="rId9"/>
    <sheet name="10" sheetId="9" state="visible" r:id="rId10"/>
    <sheet name="11" sheetId="10" state="visible" r:id="rId11"/>
    <sheet name="12" sheetId="11" state="visible" r:id="rId12"/>
    <sheet name="13" sheetId="12" state="visible" r:id="rId13"/>
    <sheet name="15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<sst xmlns="http://schemas.openxmlformats.org/spreadsheetml/2006/main" count="1507" uniqueCount="218">
  <si>
    <t xml:space="preserve">M/s.Dali and Samir Engg Pvt Ltd -Shoolagiri Plan Press Shop Performance Report</t>
  </si>
  <si>
    <t xml:space="preserve">Report Date : 02/09/2025</t>
  </si>
  <si>
    <t xml:space="preserve">Prodn Date : 01/09/2025</t>
  </si>
  <si>
    <t xml:space="preserve">S No</t>
  </si>
  <si>
    <t xml:space="preserve">Press Spec</t>
  </si>
  <si>
    <t xml:space="preserve">Process</t>
  </si>
  <si>
    <t xml:space="preserve">Part Name</t>
  </si>
  <si>
    <t xml:space="preserve">Standard Strokes/ Shift (8hr)</t>
  </si>
  <si>
    <t xml:space="preserve">Per Hr Stroke (Nos)</t>
  </si>
  <si>
    <t xml:space="preserve">Std. Strokes  (Nos)</t>
  </si>
  <si>
    <t xml:space="preserve">Actual Strokes</t>
  </si>
  <si>
    <t xml:space="preserve">Production Efficiency (%)</t>
  </si>
  <si>
    <t xml:space="preserve">Reason for losses mins</t>
  </si>
  <si>
    <t xml:space="preserve">Reason for losses</t>
  </si>
  <si>
    <t xml:space="preserve">Manpower</t>
  </si>
  <si>
    <t xml:space="preserve">Remarks</t>
  </si>
  <si>
    <t xml:space="preserve">Time         (In Hrs)</t>
  </si>
  <si>
    <t xml:space="preserve">Strokes (Nos)</t>
  </si>
  <si>
    <t xml:space="preserve">Operator</t>
  </si>
  <si>
    <t xml:space="preserve">Helper</t>
  </si>
  <si>
    <t xml:space="preserve">600T Hyd</t>
  </si>
  <si>
    <t xml:space="preserve">FORMING</t>
  </si>
  <si>
    <t xml:space="preserve">OUTER C</t>
  </si>
  <si>
    <t xml:space="preserve">TOTAL</t>
  </si>
  <si>
    <t xml:space="preserve">500T</t>
  </si>
  <si>
    <t xml:space="preserve">  </t>
  </si>
  <si>
    <t xml:space="preserve">.</t>
  </si>
  <si>
    <t xml:space="preserve">350-1</t>
  </si>
  <si>
    <t xml:space="preserve">BLANKING</t>
  </si>
  <si>
    <t xml:space="preserve">material moment delay</t>
  </si>
  <si>
    <t xml:space="preserve">Op Name : Mr.Halak</t>
  </si>
  <si>
    <t xml:space="preserve">350T -2 </t>
  </si>
  <si>
    <t xml:space="preserve">Machine Breakdown</t>
  </si>
  <si>
    <t xml:space="preserve">300T</t>
  </si>
  <si>
    <t xml:space="preserve">PIERCING</t>
  </si>
  <si>
    <t xml:space="preserve">INNER C</t>
  </si>
  <si>
    <t xml:space="preserve">200T</t>
  </si>
  <si>
    <t xml:space="preserve">CROPPING</t>
  </si>
  <si>
    <t xml:space="preserve">7001 SURGE PART </t>
  </si>
  <si>
    <t xml:space="preserve">Op Name : Mr.Ranjan</t>
  </si>
  <si>
    <t xml:space="preserve">2501,2601 SUMP</t>
  </si>
  <si>
    <t xml:space="preserve">manpower dealy</t>
  </si>
  <si>
    <t xml:space="preserve">185L EC</t>
  </si>
  <si>
    <t xml:space="preserve">DRAW</t>
  </si>
  <si>
    <t xml:space="preserve">Op Name :Mr. Santhosh</t>
  </si>
  <si>
    <t xml:space="preserve">COLLER</t>
  </si>
  <si>
    <t xml:space="preserve">185L SHELL</t>
  </si>
  <si>
    <t xml:space="preserve">PUMP FORMING</t>
  </si>
  <si>
    <t xml:space="preserve">BS6 90L SHELL</t>
  </si>
  <si>
    <t xml:space="preserve">RIB FORMING</t>
  </si>
  <si>
    <t xml:space="preserve">AL CONTI FLANGE</t>
  </si>
  <si>
    <t xml:space="preserve">160T</t>
  </si>
  <si>
    <t xml:space="preserve">TRIMMING</t>
  </si>
  <si>
    <t xml:space="preserve">Op Name : Mr.Nano</t>
  </si>
  <si>
    <t xml:space="preserve">material moment delay </t>
  </si>
  <si>
    <t xml:space="preserve">CONTI EC</t>
  </si>
  <si>
    <t xml:space="preserve">185L EC </t>
  </si>
  <si>
    <t xml:space="preserve">2601 2501 SHELL.</t>
  </si>
  <si>
    <t xml:space="preserve">8401,8501 SHELL</t>
  </si>
  <si>
    <t xml:space="preserve">110T</t>
  </si>
  <si>
    <t xml:space="preserve">Op Name : Mr.Mukesh</t>
  </si>
  <si>
    <t xml:space="preserve">AIR TANK 35L SHELL</t>
  </si>
  <si>
    <t xml:space="preserve">100T</t>
  </si>
  <si>
    <t xml:space="preserve">Mr.krishana kumar</t>
  </si>
  <si>
    <t xml:space="preserve">                                                          TOTAL</t>
  </si>
  <si>
    <t xml:space="preserve">PRESS BRAKE</t>
  </si>
  <si>
    <t xml:space="preserve">SHEARING M/C</t>
  </si>
  <si>
    <t xml:space="preserve">SHEARING</t>
  </si>
  <si>
    <t xml:space="preserve">                                                                                                    </t>
  </si>
  <si>
    <t xml:space="preserve">Mr.Nano</t>
  </si>
  <si>
    <t xml:space="preserve">75T</t>
  </si>
  <si>
    <t xml:space="preserve">SIZZING</t>
  </si>
  <si>
    <t xml:space="preserve">CONTI SHELL</t>
  </si>
  <si>
    <t xml:space="preserve">no manpower</t>
  </si>
  <si>
    <t xml:space="preserve">OP Name: Mr.Mallik</t>
  </si>
  <si>
    <t xml:space="preserve">CONTI 50L SHELL</t>
  </si>
  <si>
    <t xml:space="preserve">AIR CLEANER BRKT</t>
  </si>
  <si>
    <t xml:space="preserve">`</t>
  </si>
  <si>
    <t xml:space="preserve">Total Strokes Plan vs Actual and Production %</t>
  </si>
  <si>
    <t xml:space="preserve">MANPOWER =14/16</t>
  </si>
  <si>
    <t xml:space="preserve">Report Date : 03/09/2025</t>
  </si>
  <si>
    <t xml:space="preserve">Prodn Date : 02/09/2025</t>
  </si>
  <si>
    <t xml:space="preserve">0401&amp;3902 SHELL</t>
  </si>
  <si>
    <t xml:space="preserve">8401 EC</t>
  </si>
  <si>
    <t xml:space="preserve">0401 EC</t>
  </si>
  <si>
    <t xml:space="preserve">SUMP PIERCING</t>
  </si>
  <si>
    <t xml:space="preserve">0401 SHELL</t>
  </si>
  <si>
    <t xml:space="preserve">SINGLE HOLE PIERCING</t>
  </si>
  <si>
    <t xml:space="preserve">ID TRIMMING</t>
  </si>
  <si>
    <t xml:space="preserve">BRKT DISCHARGE</t>
  </si>
  <si>
    <t xml:space="preserve">NECK PIERCING</t>
  </si>
  <si>
    <t xml:space="preserve">BS4 L BRKT</t>
  </si>
  <si>
    <t xml:space="preserve">MANPOWER =15/16</t>
  </si>
  <si>
    <t xml:space="preserve">Report Date : 04/09/2025</t>
  </si>
  <si>
    <t xml:space="preserve">Prodn Date : 03/09/2025</t>
  </si>
  <si>
    <t xml:space="preserve">INNER SPRT BRKT</t>
  </si>
  <si>
    <t xml:space="preserve">CONTI 50L PUMP</t>
  </si>
  <si>
    <t xml:space="preserve">NO MANPOWER</t>
  </si>
  <si>
    <t xml:space="preserve">CONTI SHELL PUMP</t>
  </si>
  <si>
    <t xml:space="preserve">RESTRIKE</t>
  </si>
  <si>
    <t xml:space="preserve">L BENDING</t>
  </si>
  <si>
    <t xml:space="preserve">METERIAL MOVEMENT</t>
  </si>
  <si>
    <t xml:space="preserve">COLLER </t>
  </si>
  <si>
    <t xml:space="preserve">185L,4101,4901,4601,3801,6401</t>
  </si>
  <si>
    <t xml:space="preserve">VERTICAL STIFFNER</t>
  </si>
  <si>
    <t xml:space="preserve">INNER SUPPORT BRKT</t>
  </si>
  <si>
    <t xml:space="preserve">PUMP PIERCING</t>
  </si>
  <si>
    <t xml:space="preserve">CONTI SHELL </t>
  </si>
  <si>
    <t xml:space="preserve">4901&amp;6401&amp;4101 SHELL</t>
  </si>
  <si>
    <t xml:space="preserve">SENSOR PIERCING</t>
  </si>
  <si>
    <t xml:space="preserve">4101 SHELL</t>
  </si>
  <si>
    <t xml:space="preserve">AL LOCK PLATE</t>
  </si>
  <si>
    <t xml:space="preserve">50L SHELL</t>
  </si>
  <si>
    <t xml:space="preserve">BAYONED FORMING</t>
  </si>
  <si>
    <t xml:space="preserve">4901&amp;4101 SHELL</t>
  </si>
  <si>
    <t xml:space="preserve">4901&amp;3801&amp;6401 SHELL</t>
  </si>
  <si>
    <t xml:space="preserve">DRAIN HOLE PIERCING</t>
  </si>
  <si>
    <t xml:space="preserve">JOGGLING</t>
  </si>
  <si>
    <t xml:space="preserve">3801&amp;4101&amp;6401&amp;4901 SHELL</t>
  </si>
  <si>
    <t xml:space="preserve">50L&amp; CONTI SHELL</t>
  </si>
  <si>
    <t xml:space="preserve">VERTICAL STIFFNER&amp;AL LOCK PLATE</t>
  </si>
  <si>
    <t xml:space="preserve">MANPOWER =16/16</t>
  </si>
  <si>
    <t xml:space="preserve">Report Date : 05/09/2025</t>
  </si>
  <si>
    <t xml:space="preserve">Prodn Date : 04/09/2025</t>
  </si>
  <si>
    <t xml:space="preserve">3801 BUFFLE</t>
  </si>
  <si>
    <t xml:space="preserve">3801&amp;4101&amp;8601 SHELL</t>
  </si>
  <si>
    <t xml:space="preserve">0401&amp;8401 SHELL</t>
  </si>
  <si>
    <t xml:space="preserve">7001 SURGE PART</t>
  </si>
  <si>
    <t xml:space="preserve">2601 SHELL</t>
  </si>
  <si>
    <t xml:space="preserve">ITEM16</t>
  </si>
  <si>
    <t xml:space="preserve">ISUZU NECK FUEL FLAP SMALL</t>
  </si>
  <si>
    <t xml:space="preserve">ISUZU CONE</t>
  </si>
  <si>
    <t xml:space="preserve">ISUZU HARNESS CLAMP</t>
  </si>
  <si>
    <t xml:space="preserve">185L BUFFLE</t>
  </si>
  <si>
    <t xml:space="preserve">Report Date : 06/09/2025</t>
  </si>
  <si>
    <t xml:space="preserve">Prodn Date : 05/09/2025</t>
  </si>
  <si>
    <t xml:space="preserve">SUMP FORMING</t>
  </si>
  <si>
    <t xml:space="preserve">8401 SHELL</t>
  </si>
  <si>
    <t xml:space="preserve">0401 BUFFLE</t>
  </si>
  <si>
    <t xml:space="preserve">RESTRIKING</t>
  </si>
  <si>
    <t xml:space="preserve">HOLE PIERCING</t>
  </si>
  <si>
    <t xml:space="preserve">2501&amp;2601&amp;8401 SHELL</t>
  </si>
  <si>
    <t xml:space="preserve">INNER C&amp;1*220*</t>
  </si>
  <si>
    <t xml:space="preserve">ISUZU CLIP FUEL LINE</t>
  </si>
  <si>
    <t xml:space="preserve">Report Date : 08/09/2025</t>
  </si>
  <si>
    <t xml:space="preserve">Prodn Date : 06/09/2025</t>
  </si>
  <si>
    <t xml:space="preserve">INNER SUP BRKT</t>
  </si>
  <si>
    <t xml:space="preserve">WATTY</t>
  </si>
  <si>
    <t xml:space="preserve">MATERIAL MOVEMENT</t>
  </si>
  <si>
    <t xml:space="preserve">AIR TANK EC</t>
  </si>
  <si>
    <t xml:space="preserve">30L AIR TANK SHELL</t>
  </si>
  <si>
    <t xml:space="preserve">50L AIR TANK SHELL</t>
  </si>
  <si>
    <t xml:space="preserve">BS4 90L SHELL</t>
  </si>
  <si>
    <t xml:space="preserve">1ST FORMING</t>
  </si>
  <si>
    <t xml:space="preserve">2ND FORMING</t>
  </si>
  <si>
    <t xml:space="preserve">Report Date : 09/09/2025</t>
  </si>
  <si>
    <t xml:space="preserve">Prodn Date : 08/09/2025</t>
  </si>
  <si>
    <t xml:space="preserve">2901 OIL SUMP</t>
  </si>
  <si>
    <t xml:space="preserve">1ST DRAW</t>
  </si>
  <si>
    <t xml:space="preserve">VIPPING</t>
  </si>
  <si>
    <t xml:space="preserve">5L PURGE TANK</t>
  </si>
  <si>
    <t xml:space="preserve">NECK PIERCING&amp;COLLER</t>
  </si>
  <si>
    <t xml:space="preserve">FLANGE</t>
  </si>
  <si>
    <t xml:space="preserve">PART ISSUE</t>
  </si>
  <si>
    <t xml:space="preserve">3801 SHELL</t>
  </si>
  <si>
    <t xml:space="preserve">3801&amp;4901&amp;185L SHELL</t>
  </si>
  <si>
    <t xml:space="preserve">FRONT HEATER</t>
  </si>
  <si>
    <t xml:space="preserve">VOLVO BRKT</t>
  </si>
  <si>
    <t xml:space="preserve">50L SHELL&amp;FRONT HEATER</t>
  </si>
  <si>
    <t xml:space="preserve">Report Date : 10/09/2025</t>
  </si>
  <si>
    <t xml:space="preserve">Prodn Date : 09/09/2025</t>
  </si>
  <si>
    <t xml:space="preserve">DRAW 2</t>
  </si>
  <si>
    <t xml:space="preserve">BYONET PIRCING</t>
  </si>
  <si>
    <t xml:space="preserve">2501,2601 SHELL </t>
  </si>
  <si>
    <t xml:space="preserve">4901,2801, SHELL</t>
  </si>
  <si>
    <t xml:space="preserve">DRAW </t>
  </si>
  <si>
    <t xml:space="preserve">3.4L PURGE TANK</t>
  </si>
  <si>
    <t xml:space="preserve">BS690L EC</t>
  </si>
  <si>
    <t xml:space="preserve">PUMP PIRCING</t>
  </si>
  <si>
    <t xml:space="preserve">0401 END COVER</t>
  </si>
  <si>
    <t xml:space="preserve">LHD AXLE PEDAL</t>
  </si>
  <si>
    <t xml:space="preserve">0401 END COVER BUFFEL</t>
  </si>
  <si>
    <t xml:space="preserve"> NECK PIERCING</t>
  </si>
  <si>
    <t xml:space="preserve">CONTI FLANGE</t>
  </si>
  <si>
    <t xml:space="preserve">Report Date : 11/09/2025</t>
  </si>
  <si>
    <t xml:space="preserve">Prodn Date :10/09/2025</t>
  </si>
  <si>
    <t xml:space="preserve">2ND DRAW</t>
  </si>
  <si>
    <t xml:space="preserve">3RD DRAW</t>
  </si>
  <si>
    <t xml:space="preserve">BS6 90L EC</t>
  </si>
  <si>
    <t xml:space="preserve">1102 SHELL</t>
  </si>
  <si>
    <t xml:space="preserve">1102&amp;2501 SHELL</t>
  </si>
  <si>
    <t xml:space="preserve">1102&amp;7001 SHELL</t>
  </si>
  <si>
    <t xml:space="preserve">2501&amp;2601&amp;1102&amp;7001 SHELL</t>
  </si>
  <si>
    <t xml:space="preserve">1*160*1250</t>
  </si>
  <si>
    <t xml:space="preserve">7001,0401 SHELL</t>
  </si>
  <si>
    <t xml:space="preserve">AIR TANK</t>
  </si>
  <si>
    <t xml:space="preserve">8401,0401 BUFFEL</t>
  </si>
  <si>
    <t xml:space="preserve">2601&amp;2501 SHELL</t>
  </si>
  <si>
    <t xml:space="preserve">Report Date : 12/09/2025</t>
  </si>
  <si>
    <t xml:space="preserve">Prodn Date :11/09/2025</t>
  </si>
  <si>
    <t xml:space="preserve">MANPOWER DELAY</t>
  </si>
  <si>
    <t xml:space="preserve">INNER SUPRT BRKT</t>
  </si>
  <si>
    <t xml:space="preserve">RESTRIKE </t>
  </si>
  <si>
    <t xml:space="preserve">3801,0401, BOYONT</t>
  </si>
  <si>
    <t xml:space="preserve">3801,8401 SHELL</t>
  </si>
  <si>
    <t xml:space="preserve">2601,SHELL</t>
  </si>
  <si>
    <t xml:space="preserve">TRIMMING 2</t>
  </si>
  <si>
    <t xml:space="preserve">ENG MTG GUSSET</t>
  </si>
  <si>
    <t xml:space="preserve">AL WATTY </t>
  </si>
  <si>
    <t xml:space="preserve">Report Date : 15/09/2025</t>
  </si>
  <si>
    <t xml:space="preserve">Prodn Date :13/09/2025</t>
  </si>
  <si>
    <t xml:space="preserve">BS6 9L EC</t>
  </si>
  <si>
    <t xml:space="preserve">ID TRIM</t>
  </si>
  <si>
    <t xml:space="preserve">Report Date : 16/09/2025</t>
  </si>
  <si>
    <t xml:space="preserve">Prodn Date :15/09/2025</t>
  </si>
  <si>
    <t xml:space="preserve">REINFORCEMENT BRKT</t>
  </si>
  <si>
    <t xml:space="preserve">3801 SENSOR</t>
  </si>
  <si>
    <t xml:space="preserve">3801 EC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</si>
</sst>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_ "/>
    <numFmt numFmtId="166" formatCode="General"/>
    <numFmt numFmtId="167" formatCode="#,##0"/>
    <numFmt numFmtId="168" formatCode="0%"/>
  </numFmts>
  <fonts count="20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34"/>
    </font>
    <font>
      <b val="true"/>
      <sz val="11"/>
      <color rgb="FF000000"/>
      <name val="Calibri"/>
      <family val="0"/>
    </font>
    <font>
      <b val="true"/>
      <sz val="10"/>
      <color rgb="FF000000"/>
      <name val="Calibri"/>
      <family val="0"/>
    </font>
    <font>
      <b val="true"/>
      <sz val="9"/>
      <color rgb="FF000000"/>
      <name val="Calibri"/>
      <family val="0"/>
    </font>
    <font>
      <sz val="10"/>
      <color rgb="FF000000"/>
      <name val="Calibri"/>
      <family val="0"/>
    </font>
    <font>
      <sz val="9"/>
      <name val="Arial"/>
      <family val="0"/>
    </font>
    <font>
      <sz val="8"/>
      <color rgb="FFFF0000"/>
      <name val="Calibri"/>
      <family val="0"/>
    </font>
    <font>
      <sz val="8"/>
      <name val="Calibri"/>
      <family val="0"/>
    </font>
    <font>
      <b val="true"/>
      <sz val="12"/>
      <color rgb="FF000000"/>
      <name val="Calibri"/>
      <family val="0"/>
    </font>
    <font>
      <sz val="8"/>
      <color rgb="FF000000"/>
      <name val="Calibri"/>
      <family val="0"/>
    </font>
    <font>
      <sz val="9"/>
      <color rgb="FF000000"/>
      <name val="Calibri"/>
      <family val="0"/>
    </font>
    <font>
      <sz val="10"/>
      <color rgb="FFFF0000"/>
      <name val="Calibri"/>
      <family val="0"/>
    </font>
    <font>
      <sz val="7"/>
      <color rgb="FF000000"/>
      <name val="Calibri"/>
      <family val="0"/>
    </font>
    <font>
      <sz val="6"/>
      <color rgb="FFFF0000"/>
      <name val="Calibri"/>
      <family val="0"/>
    </font>
    <font>
      <b val="true"/>
      <sz val="8"/>
      <color rgb="FFFF0000"/>
      <name val="Calibri"/>
      <family val="0"/>
    </font>
    <font>
      <b val="true"/>
      <sz val="11"/>
      <color rgb="FFFF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7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N72" activeCellId="0" sqref="N72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2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8" t="s">
        <v>22</v>
      </c>
      <c r="F6" s="19" t="n">
        <f aca="false">60/60*8*60</f>
        <v>480</v>
      </c>
      <c r="G6" s="20" t="n">
        <f aca="false">F6/8</f>
        <v>60</v>
      </c>
      <c r="H6" s="20" t="n">
        <f aca="false">G6*I6</f>
        <v>510</v>
      </c>
      <c r="I6" s="21" t="n">
        <v>8.5</v>
      </c>
      <c r="J6" s="21" t="n">
        <v>470</v>
      </c>
      <c r="K6" s="20" t="n">
        <f aca="false">J6/H6*100</f>
        <v>92.156862745098</v>
      </c>
      <c r="L6" s="22" t="n">
        <v>0</v>
      </c>
      <c r="M6" s="23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19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510</v>
      </c>
      <c r="I9" s="30"/>
      <c r="J9" s="29" t="n">
        <f aca="false">SUM(J6:J8)</f>
        <v>470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34.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22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480</v>
      </c>
      <c r="I13" s="21" t="n">
        <v>4</v>
      </c>
      <c r="J13" s="21" t="n">
        <v>400</v>
      </c>
      <c r="K13" s="20" t="n">
        <f aca="false">J13/H13*100</f>
        <v>83.3333333333333</v>
      </c>
      <c r="L13" s="22" t="n">
        <v>30</v>
      </c>
      <c r="M13" s="38" t="s">
        <v>29</v>
      </c>
      <c r="N13" s="19"/>
      <c r="O13" s="19"/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480</v>
      </c>
      <c r="I15" s="42"/>
      <c r="J15" s="41" t="n">
        <f aca="false">SUM(J13:J14)</f>
        <v>400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 t="s">
        <v>34</v>
      </c>
      <c r="E19" s="18" t="s">
        <v>35</v>
      </c>
      <c r="F19" s="19" t="n">
        <f aca="false">60/30*8*60</f>
        <v>960</v>
      </c>
      <c r="G19" s="20" t="n">
        <f aca="false">F19/8</f>
        <v>120</v>
      </c>
      <c r="H19" s="20" t="n">
        <f aca="false">G19*I19</f>
        <v>312</v>
      </c>
      <c r="I19" s="21" t="n">
        <v>2.6</v>
      </c>
      <c r="J19" s="21" t="n">
        <v>270</v>
      </c>
      <c r="K19" s="20" t="n">
        <f aca="false">J19/H19*100</f>
        <v>86.5384615384615</v>
      </c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35"/>
      <c r="E20" s="36"/>
      <c r="F20" s="20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312</v>
      </c>
      <c r="I21" s="30"/>
      <c r="J21" s="29" t="n">
        <f aca="false">SUM(J19:J20)</f>
        <v>270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37</v>
      </c>
      <c r="E22" s="55" t="s">
        <v>38</v>
      </c>
      <c r="F22" s="19" t="n">
        <f aca="false">60/30*8*60</f>
        <v>960</v>
      </c>
      <c r="G22" s="20" t="n">
        <f aca="false">F22/8</f>
        <v>120</v>
      </c>
      <c r="H22" s="20" t="n">
        <f aca="false">G22*I22</f>
        <v>300</v>
      </c>
      <c r="I22" s="21" t="n">
        <v>2.5</v>
      </c>
      <c r="J22" s="21" t="n">
        <v>270</v>
      </c>
      <c r="K22" s="20" t="n">
        <f aca="false">J22/H22*100</f>
        <v>90</v>
      </c>
      <c r="L22" s="22"/>
      <c r="M22" s="23"/>
      <c r="N22" s="19" t="n">
        <v>1</v>
      </c>
      <c r="O22" s="19" t="n">
        <v>0</v>
      </c>
      <c r="P22" s="56" t="s">
        <v>39</v>
      </c>
    </row>
    <row r="23" customFormat="false" ht="22.5" hidden="false" customHeight="false" outlineLevel="0" collapsed="false">
      <c r="B23" s="50"/>
      <c r="C23" s="53"/>
      <c r="D23" s="54" t="s">
        <v>34</v>
      </c>
      <c r="E23" s="55" t="s">
        <v>40</v>
      </c>
      <c r="F23" s="19" t="n">
        <f aca="false">60/30*8*60</f>
        <v>960</v>
      </c>
      <c r="G23" s="20" t="n">
        <f aca="false">F23/8</f>
        <v>120</v>
      </c>
      <c r="H23" s="20" t="n">
        <f aca="false">G23*I23</f>
        <v>420</v>
      </c>
      <c r="I23" s="21" t="n">
        <v>3.5</v>
      </c>
      <c r="J23" s="21" t="n">
        <v>370</v>
      </c>
      <c r="K23" s="20" t="n">
        <f aca="false">J23/H23*100</f>
        <v>88.0952380952381</v>
      </c>
      <c r="L23" s="22" t="n">
        <v>10</v>
      </c>
      <c r="M23" s="38" t="s">
        <v>41</v>
      </c>
      <c r="N23" s="19" t="n">
        <v>1</v>
      </c>
      <c r="O23" s="19" t="n">
        <v>3</v>
      </c>
      <c r="P23" s="56"/>
    </row>
    <row r="24" customFormat="false" ht="15" hidden="false" customHeight="false" outlineLevel="0" collapsed="false">
      <c r="B24" s="50"/>
      <c r="C24" s="53"/>
      <c r="D24" s="54" t="s">
        <v>28</v>
      </c>
      <c r="E24" s="55" t="s">
        <v>42</v>
      </c>
      <c r="F24" s="19" t="n">
        <f aca="false">60/20*8*60</f>
        <v>1440</v>
      </c>
      <c r="G24" s="20" t="n">
        <f aca="false">F24/8</f>
        <v>180</v>
      </c>
      <c r="H24" s="20" t="n">
        <f aca="false">G24*I24</f>
        <v>1080</v>
      </c>
      <c r="I24" s="21" t="n">
        <v>6</v>
      </c>
      <c r="J24" s="21" t="n">
        <v>1000</v>
      </c>
      <c r="K24" s="20" t="n">
        <f aca="false">J24/H24*100</f>
        <v>92.5925925925926</v>
      </c>
      <c r="L24" s="22"/>
      <c r="M24" s="23"/>
      <c r="N24" s="19" t="n">
        <v>1</v>
      </c>
      <c r="O24" s="19" t="n">
        <v>2</v>
      </c>
      <c r="P24" s="56"/>
    </row>
    <row r="25" customFormat="false" ht="15" hidden="false" customHeight="false" outlineLevel="0" collapsed="false">
      <c r="B25" s="50"/>
      <c r="C25" s="53"/>
      <c r="D25" s="54"/>
      <c r="E25" s="55"/>
      <c r="F25" s="19"/>
      <c r="G25" s="20"/>
      <c r="H25" s="20"/>
      <c r="I25" s="21"/>
      <c r="J25" s="21"/>
      <c r="K25" s="20"/>
      <c r="L25" s="22"/>
      <c r="M25" s="23"/>
      <c r="N25" s="19"/>
      <c r="O25" s="19"/>
      <c r="P25" s="56"/>
    </row>
    <row r="26" customFormat="false" ht="15" hidden="false" customHeight="false" outlineLevel="0" collapsed="false">
      <c r="B26" s="50"/>
      <c r="C26" s="53"/>
      <c r="D26" s="54"/>
      <c r="E26" s="55"/>
      <c r="F26" s="19"/>
      <c r="G26" s="20"/>
      <c r="H26" s="20"/>
      <c r="I26" s="21"/>
      <c r="J26" s="21"/>
      <c r="K26" s="20"/>
      <c r="L26" s="22"/>
      <c r="M26" s="23"/>
      <c r="N26" s="19"/>
      <c r="O26" s="19"/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1800</v>
      </c>
      <c r="I30" s="30"/>
      <c r="J30" s="29" t="n">
        <f aca="false">SUM(J22:J29)</f>
        <v>1640</v>
      </c>
      <c r="K30" s="22"/>
      <c r="L30" s="22"/>
      <c r="M30" s="23"/>
      <c r="N30" s="36"/>
      <c r="O30" s="20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43</v>
      </c>
      <c r="E31" s="55" t="s">
        <v>38</v>
      </c>
      <c r="F31" s="20" t="n">
        <f aca="false">60/25*8*60</f>
        <v>1152</v>
      </c>
      <c r="G31" s="20" t="n">
        <f aca="false">F31/8</f>
        <v>144</v>
      </c>
      <c r="H31" s="20" t="n">
        <f aca="false">G31*I31</f>
        <v>72</v>
      </c>
      <c r="I31" s="21" t="n">
        <v>0.5</v>
      </c>
      <c r="J31" s="21" t="n">
        <v>70</v>
      </c>
      <c r="K31" s="20" t="n">
        <f aca="false">J31/H31*100</f>
        <v>97.2222222222222</v>
      </c>
      <c r="L31" s="20"/>
      <c r="M31" s="25"/>
      <c r="N31" s="19" t="n">
        <v>1</v>
      </c>
      <c r="O31" s="19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45</v>
      </c>
      <c r="E32" s="55" t="s">
        <v>46</v>
      </c>
      <c r="F32" s="20" t="n">
        <f aca="false">60/40*8*60</f>
        <v>720</v>
      </c>
      <c r="G32" s="20" t="n">
        <f aca="false">F32/8</f>
        <v>90</v>
      </c>
      <c r="H32" s="20" t="n">
        <f aca="false">G32*I32</f>
        <v>90</v>
      </c>
      <c r="I32" s="21" t="n">
        <v>1</v>
      </c>
      <c r="J32" s="21" t="n">
        <v>64</v>
      </c>
      <c r="K32" s="20" t="n">
        <f aca="false">J32/H32*100</f>
        <v>71.1111111111111</v>
      </c>
      <c r="L32" s="20"/>
      <c r="M32" s="25"/>
      <c r="N32" s="19" t="n">
        <v>1</v>
      </c>
      <c r="O32" s="19" t="n">
        <v>3</v>
      </c>
      <c r="P32" s="58"/>
    </row>
    <row r="33" customFormat="false" ht="33.75" hidden="false" customHeight="false" outlineLevel="0" collapsed="false">
      <c r="B33" s="15"/>
      <c r="C33" s="16"/>
      <c r="D33" s="54" t="s">
        <v>47</v>
      </c>
      <c r="E33" s="55" t="s">
        <v>48</v>
      </c>
      <c r="F33" s="20" t="n">
        <f aca="false">60/30*8*60</f>
        <v>960</v>
      </c>
      <c r="G33" s="20" t="n">
        <f aca="false">F33/8</f>
        <v>120</v>
      </c>
      <c r="H33" s="20" t="n">
        <f aca="false">G33*I33</f>
        <v>240</v>
      </c>
      <c r="I33" s="21" t="n">
        <v>2</v>
      </c>
      <c r="J33" s="21" t="n">
        <v>150</v>
      </c>
      <c r="K33" s="20" t="n">
        <f aca="false">J33/H33*100</f>
        <v>62.5</v>
      </c>
      <c r="L33" s="20" t="n">
        <v>20</v>
      </c>
      <c r="M33" s="59" t="s">
        <v>29</v>
      </c>
      <c r="N33" s="20" t="n">
        <v>1</v>
      </c>
      <c r="O33" s="20" t="n">
        <v>2</v>
      </c>
      <c r="P33" s="58"/>
    </row>
    <row r="34" customFormat="false" ht="15" hidden="false" customHeight="false" outlineLevel="0" collapsed="false">
      <c r="B34" s="15"/>
      <c r="C34" s="16"/>
      <c r="D34" s="54" t="s">
        <v>49</v>
      </c>
      <c r="E34" s="55" t="s">
        <v>48</v>
      </c>
      <c r="F34" s="20" t="n">
        <f aca="false">60/20*8*60</f>
        <v>1440</v>
      </c>
      <c r="G34" s="20" t="n">
        <f aca="false">F34/8</f>
        <v>180</v>
      </c>
      <c r="H34" s="20" t="n">
        <f aca="false">G34*I34</f>
        <v>360</v>
      </c>
      <c r="I34" s="21" t="n">
        <v>2</v>
      </c>
      <c r="J34" s="21" t="n">
        <v>300</v>
      </c>
      <c r="K34" s="20" t="n">
        <f aca="false">J34/H34*100</f>
        <v>83.3333333333333</v>
      </c>
      <c r="L34" s="20"/>
      <c r="M34" s="25"/>
      <c r="N34" s="20" t="n">
        <v>1</v>
      </c>
      <c r="O34" s="20" t="n">
        <v>2</v>
      </c>
      <c r="P34" s="58"/>
    </row>
    <row r="35" customFormat="false" ht="15" hidden="false" customHeight="false" outlineLevel="0" collapsed="false">
      <c r="B35" s="15"/>
      <c r="C35" s="16"/>
      <c r="D35" s="54" t="s">
        <v>28</v>
      </c>
      <c r="E35" s="55" t="s">
        <v>42</v>
      </c>
      <c r="F35" s="19" t="n">
        <f aca="false">60/20*8*60</f>
        <v>1440</v>
      </c>
      <c r="G35" s="20" t="n">
        <f aca="false">F35/8</f>
        <v>180</v>
      </c>
      <c r="H35" s="20" t="n">
        <f aca="false">G35*I35</f>
        <v>720</v>
      </c>
      <c r="I35" s="21" t="n">
        <v>4</v>
      </c>
      <c r="J35" s="21" t="n">
        <v>600</v>
      </c>
      <c r="K35" s="20" t="n">
        <f aca="false">J35/H35*100</f>
        <v>83.3333333333333</v>
      </c>
      <c r="L35" s="22"/>
      <c r="M35" s="23"/>
      <c r="N35" s="19" t="n">
        <v>1</v>
      </c>
      <c r="O35" s="19" t="n">
        <v>2</v>
      </c>
      <c r="P35" s="58"/>
    </row>
    <row r="36" customFormat="false" ht="15" hidden="false" customHeight="false" outlineLevel="0" collapsed="false">
      <c r="B36" s="15"/>
      <c r="C36" s="16"/>
      <c r="D36" s="54" t="s">
        <v>34</v>
      </c>
      <c r="E36" s="55" t="s">
        <v>50</v>
      </c>
      <c r="F36" s="19" t="n">
        <f aca="false">60/15*8*60</f>
        <v>1920</v>
      </c>
      <c r="G36" s="20" t="n">
        <f aca="false">F36/8</f>
        <v>240</v>
      </c>
      <c r="H36" s="20" t="n">
        <f aca="false">G36*I36</f>
        <v>600</v>
      </c>
      <c r="I36" s="21" t="n">
        <v>2.5</v>
      </c>
      <c r="J36" s="21" t="n">
        <v>510</v>
      </c>
      <c r="K36" s="20" t="n">
        <f aca="false">J36/H36*100</f>
        <v>85</v>
      </c>
      <c r="L36" s="22"/>
      <c r="M36" s="23"/>
      <c r="N36" s="19" t="n">
        <v>1</v>
      </c>
      <c r="O36" s="19" t="n">
        <v>0</v>
      </c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20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2082</v>
      </c>
      <c r="I39" s="42"/>
      <c r="J39" s="49" t="n">
        <f aca="false">SUM(J31:J38)</f>
        <v>1694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52</v>
      </c>
      <c r="E40" s="55" t="s">
        <v>38</v>
      </c>
      <c r="F40" s="20" t="n">
        <f aca="false">60/30*8*60</f>
        <v>960</v>
      </c>
      <c r="G40" s="20" t="n">
        <f aca="false">F40/8</f>
        <v>120</v>
      </c>
      <c r="H40" s="20" t="n">
        <f aca="false">G40*I40</f>
        <v>96</v>
      </c>
      <c r="I40" s="21" t="n">
        <v>0.8</v>
      </c>
      <c r="J40" s="21" t="n">
        <v>70</v>
      </c>
      <c r="K40" s="20" t="n">
        <f aca="false">J40/H40*100</f>
        <v>72.9166666666667</v>
      </c>
      <c r="L40" s="20"/>
      <c r="M40" s="25"/>
      <c r="N40" s="19" t="n">
        <v>1</v>
      </c>
      <c r="O40" s="19" t="n">
        <v>1</v>
      </c>
      <c r="P40" s="61" t="s">
        <v>53</v>
      </c>
    </row>
    <row r="41" customFormat="false" ht="33.75" hidden="false" customHeight="false" outlineLevel="0" collapsed="false">
      <c r="B41" s="45"/>
      <c r="C41" s="60"/>
      <c r="D41" s="54" t="s">
        <v>45</v>
      </c>
      <c r="E41" s="55" t="s">
        <v>46</v>
      </c>
      <c r="F41" s="20" t="n">
        <f aca="false">60/30*8*60</f>
        <v>960</v>
      </c>
      <c r="G41" s="20" t="n">
        <f aca="false">F41/8</f>
        <v>120</v>
      </c>
      <c r="H41" s="20" t="n">
        <f aca="false">G41*I41</f>
        <v>120</v>
      </c>
      <c r="I41" s="21" t="n">
        <v>1</v>
      </c>
      <c r="J41" s="21" t="n">
        <v>64</v>
      </c>
      <c r="K41" s="20" t="n">
        <f aca="false">J41/H41*100</f>
        <v>53.3333333333333</v>
      </c>
      <c r="L41" s="22" t="n">
        <v>30</v>
      </c>
      <c r="M41" s="38" t="s">
        <v>54</v>
      </c>
      <c r="N41" s="19" t="n">
        <v>1</v>
      </c>
      <c r="O41" s="19" t="n">
        <v>2</v>
      </c>
      <c r="P41" s="61"/>
    </row>
    <row r="42" customFormat="false" ht="15" hidden="false" customHeight="false" outlineLevel="0" collapsed="false">
      <c r="B42" s="45"/>
      <c r="C42" s="60"/>
      <c r="D42" s="54" t="s">
        <v>21</v>
      </c>
      <c r="E42" s="55" t="s">
        <v>55</v>
      </c>
      <c r="F42" s="19" t="n">
        <f aca="false">60/18*8*60</f>
        <v>1600</v>
      </c>
      <c r="G42" s="20" t="n">
        <f aca="false">F42/8</f>
        <v>200</v>
      </c>
      <c r="H42" s="20" t="n">
        <f aca="false">G42*I42</f>
        <v>1100</v>
      </c>
      <c r="I42" s="21" t="n">
        <v>5.5</v>
      </c>
      <c r="J42" s="21" t="n">
        <v>950</v>
      </c>
      <c r="K42" s="20" t="n">
        <f aca="false">J42/H42*100</f>
        <v>86.3636363636364</v>
      </c>
      <c r="L42" s="22"/>
      <c r="M42" s="23"/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 t="s">
        <v>34</v>
      </c>
      <c r="E43" s="55" t="s">
        <v>56</v>
      </c>
      <c r="F43" s="19" t="n">
        <f aca="false">60/20*8*60</f>
        <v>1440</v>
      </c>
      <c r="G43" s="20" t="n">
        <f aca="false">F43/8</f>
        <v>180</v>
      </c>
      <c r="H43" s="20" t="n">
        <f aca="false">G43*I43</f>
        <v>360</v>
      </c>
      <c r="I43" s="21" t="n">
        <v>2</v>
      </c>
      <c r="J43" s="21" t="n">
        <v>300</v>
      </c>
      <c r="K43" s="20" t="n">
        <f aca="false">J43/H43*100</f>
        <v>83.3333333333333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 t="s">
        <v>45</v>
      </c>
      <c r="E44" s="62" t="s">
        <v>57</v>
      </c>
      <c r="F44" s="20" t="n">
        <f aca="false">60/30*8*60</f>
        <v>960</v>
      </c>
      <c r="G44" s="20" t="n">
        <f aca="false">F44/8</f>
        <v>120</v>
      </c>
      <c r="H44" s="20" t="n">
        <f aca="false">G44*I44</f>
        <v>144</v>
      </c>
      <c r="I44" s="21" t="n">
        <v>1.2</v>
      </c>
      <c r="J44" s="21" t="n">
        <f aca="false">60+60</f>
        <v>120</v>
      </c>
      <c r="K44" s="20" t="n">
        <f aca="false">J44/H44*100</f>
        <v>83.3333333333333</v>
      </c>
      <c r="L44" s="22"/>
      <c r="M44" s="23"/>
      <c r="N44" s="19" t="n">
        <v>1</v>
      </c>
      <c r="O44" s="19" t="n">
        <v>3</v>
      </c>
      <c r="P44" s="61"/>
    </row>
    <row r="45" customFormat="false" ht="15" hidden="false" customHeight="false" outlineLevel="0" collapsed="false">
      <c r="B45" s="45"/>
      <c r="C45" s="60"/>
      <c r="D45" s="21" t="s">
        <v>45</v>
      </c>
      <c r="E45" s="36" t="s">
        <v>58</v>
      </c>
      <c r="F45" s="20" t="n">
        <f aca="false">60/30*8*60</f>
        <v>960</v>
      </c>
      <c r="G45" s="20" t="n">
        <f aca="false">F45/8</f>
        <v>120</v>
      </c>
      <c r="H45" s="20" t="n">
        <f aca="false">G45*I45</f>
        <v>144</v>
      </c>
      <c r="I45" s="21" t="n">
        <v>1.2</v>
      </c>
      <c r="J45" s="21" t="n">
        <f aca="false">60+60</f>
        <v>120</v>
      </c>
      <c r="K45" s="20" t="n">
        <f aca="false">J45/H45*100</f>
        <v>83.3333333333333</v>
      </c>
      <c r="L45" s="20"/>
      <c r="M45" s="25"/>
      <c r="N45" s="20" t="n">
        <v>1</v>
      </c>
      <c r="O45" s="20" t="n">
        <v>3</v>
      </c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1964</v>
      </c>
      <c r="I47" s="63"/>
      <c r="J47" s="41" t="n">
        <f aca="false">SUM(J40:J46)</f>
        <v>1624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34</v>
      </c>
      <c r="E48" s="55" t="s">
        <v>38</v>
      </c>
      <c r="F48" s="20" t="n">
        <f aca="false">60/30*8*60</f>
        <v>960</v>
      </c>
      <c r="G48" s="20" t="n">
        <f aca="false">F48/8</f>
        <v>120</v>
      </c>
      <c r="H48" s="20" t="n">
        <f aca="false">G48*I48</f>
        <v>300</v>
      </c>
      <c r="I48" s="21" t="n">
        <v>2.5</v>
      </c>
      <c r="J48" s="21" t="n">
        <v>270</v>
      </c>
      <c r="K48" s="20" t="n">
        <f aca="false">J48/H48*100</f>
        <v>90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34</v>
      </c>
      <c r="E49" s="55" t="s">
        <v>61</v>
      </c>
      <c r="F49" s="19" t="n">
        <f aca="false">60/25*8*60</f>
        <v>1152</v>
      </c>
      <c r="G49" s="20" t="n">
        <f aca="false">F49/8</f>
        <v>144</v>
      </c>
      <c r="H49" s="20" t="n">
        <f aca="false">G49*I49</f>
        <v>316.8</v>
      </c>
      <c r="I49" s="21" t="n">
        <v>2.2</v>
      </c>
      <c r="J49" s="21" t="n">
        <v>276</v>
      </c>
      <c r="K49" s="20" t="n">
        <f aca="false">J49/H49*100</f>
        <v>87.1212121212121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34</v>
      </c>
      <c r="E50" s="55" t="s">
        <v>61</v>
      </c>
      <c r="F50" s="19" t="n">
        <f aca="false">60/25*8*60</f>
        <v>1152</v>
      </c>
      <c r="G50" s="20" t="n">
        <f aca="false">F50/8</f>
        <v>144</v>
      </c>
      <c r="H50" s="20" t="n">
        <f aca="false">G50*I50</f>
        <v>316.8</v>
      </c>
      <c r="I50" s="21" t="n">
        <v>2.2</v>
      </c>
      <c r="J50" s="21" t="n">
        <v>276</v>
      </c>
      <c r="K50" s="20" t="n">
        <f aca="false">J50/H50*100</f>
        <v>87.1212121212121</v>
      </c>
      <c r="L50" s="22"/>
      <c r="M50" s="23"/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 t="s">
        <v>43</v>
      </c>
      <c r="E51" s="55" t="s">
        <v>50</v>
      </c>
      <c r="F51" s="19" t="n">
        <f aca="false">60/9*8*60</f>
        <v>3200</v>
      </c>
      <c r="G51" s="20" t="n">
        <f aca="false">F51/8</f>
        <v>400</v>
      </c>
      <c r="H51" s="20" t="n">
        <f aca="false">G51*I51</f>
        <v>3000</v>
      </c>
      <c r="I51" s="21" t="n">
        <v>7.5</v>
      </c>
      <c r="J51" s="21" t="n">
        <v>2500</v>
      </c>
      <c r="K51" s="20" t="n">
        <f aca="false">J51/H51*100</f>
        <v>83.3333333333333</v>
      </c>
      <c r="L51" s="22"/>
      <c r="M51" s="23"/>
      <c r="N51" s="19" t="n">
        <v>1</v>
      </c>
      <c r="O51" s="19" t="n">
        <v>1</v>
      </c>
      <c r="P51" s="61"/>
    </row>
    <row r="52" customFormat="false" ht="15" hidden="false" customHeight="false" outlineLevel="0" collapsed="false">
      <c r="B52" s="45"/>
      <c r="C52" s="64"/>
      <c r="D52" s="54"/>
      <c r="E52" s="55"/>
      <c r="F52" s="19"/>
      <c r="G52" s="20"/>
      <c r="H52" s="20"/>
      <c r="I52" s="21"/>
      <c r="J52" s="21"/>
      <c r="K52" s="20"/>
      <c r="L52" s="20"/>
      <c r="M52" s="25"/>
      <c r="N52" s="19"/>
      <c r="O52" s="19"/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35"/>
      <c r="E54" s="55"/>
      <c r="F54" s="19"/>
      <c r="G54" s="20"/>
      <c r="H54" s="20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SUM(H48:H53)</f>
        <v>3933.6</v>
      </c>
      <c r="I55" s="42"/>
      <c r="J55" s="41" t="n">
        <f aca="false">SUM(J48:J53)</f>
        <v>3322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1080</v>
      </c>
      <c r="I56" s="21" t="n">
        <v>3</v>
      </c>
      <c r="J56" s="21" t="n">
        <v>800</v>
      </c>
      <c r="K56" s="20" t="n">
        <f aca="false">J56/H56*100</f>
        <v>74.0740740740741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8" t="s">
        <v>64</v>
      </c>
      <c r="E58" s="8"/>
      <c r="F58" s="8"/>
      <c r="G58" s="8"/>
      <c r="H58" s="57" t="n">
        <f aca="false">SUM(H56:H57)</f>
        <v>1080</v>
      </c>
      <c r="I58" s="69"/>
      <c r="J58" s="29" t="n">
        <f aca="false">SUM(J56:J57)</f>
        <v>800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70"/>
      <c r="E59" s="18"/>
      <c r="F59" s="26"/>
      <c r="G59" s="26"/>
      <c r="H59" s="26"/>
      <c r="I59" s="27"/>
      <c r="J59" s="27"/>
      <c r="K59" s="26"/>
      <c r="L59" s="26"/>
      <c r="M59" s="28"/>
      <c r="N59" s="26"/>
      <c r="O59" s="26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50</v>
      </c>
      <c r="F62" s="19" t="n">
        <f aca="false">60/10*8*60</f>
        <v>2880</v>
      </c>
      <c r="G62" s="19" t="n">
        <f aca="false">F62/8</f>
        <v>360</v>
      </c>
      <c r="H62" s="19" t="n">
        <f aca="false">G62*I62</f>
        <v>2880</v>
      </c>
      <c r="I62" s="72" t="n">
        <v>8</v>
      </c>
      <c r="J62" s="72" t="n">
        <v>2500</v>
      </c>
      <c r="K62" s="19" t="n">
        <f aca="false">J62/H62*100</f>
        <v>86.8055555555556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/>
      <c r="E63" s="20"/>
      <c r="F63" s="19"/>
      <c r="G63" s="19"/>
      <c r="H63" s="19"/>
      <c r="I63" s="72"/>
      <c r="J63" s="72"/>
      <c r="K63" s="19"/>
      <c r="L63" s="19"/>
      <c r="M63" s="68"/>
      <c r="N63" s="19"/>
      <c r="O63" s="19"/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8" t="s">
        <v>23</v>
      </c>
      <c r="E65" s="8"/>
      <c r="F65" s="8"/>
      <c r="G65" s="8"/>
      <c r="H65" s="57" t="n">
        <f aca="false">SUM(H62:H64)</f>
        <v>2880</v>
      </c>
      <c r="I65" s="30"/>
      <c r="J65" s="29" t="n">
        <f aca="false">SUM(J62:J64)</f>
        <v>2500</v>
      </c>
      <c r="K65" s="22"/>
      <c r="L65" s="22"/>
      <c r="M65" s="23"/>
      <c r="N65" s="22"/>
      <c r="O65" s="22"/>
      <c r="P65" s="73"/>
    </row>
    <row r="66" customFormat="false" ht="22.5" hidden="false" customHeight="true" outlineLevel="0" collapsed="false">
      <c r="B66" s="15" t="n">
        <v>12</v>
      </c>
      <c r="C66" s="37" t="s">
        <v>70</v>
      </c>
      <c r="D66" s="54" t="s">
        <v>71</v>
      </c>
      <c r="E66" s="55" t="s">
        <v>72</v>
      </c>
      <c r="F66" s="19" t="n">
        <f aca="false">60/20*8*60</f>
        <v>1440</v>
      </c>
      <c r="G66" s="20" t="n">
        <f aca="false">F66/8</f>
        <v>180</v>
      </c>
      <c r="H66" s="20" t="n">
        <f aca="false">G66*I66</f>
        <v>360</v>
      </c>
      <c r="I66" s="21" t="n">
        <v>2</v>
      </c>
      <c r="J66" s="21" t="n">
        <v>268</v>
      </c>
      <c r="K66" s="20" t="n">
        <f aca="false">J66/H66*100</f>
        <v>74.4444444444444</v>
      </c>
      <c r="L66" s="22" t="n">
        <v>30</v>
      </c>
      <c r="M66" s="38" t="s">
        <v>73</v>
      </c>
      <c r="N66" s="20" t="n">
        <v>1</v>
      </c>
      <c r="O66" s="20" t="n">
        <v>1</v>
      </c>
      <c r="P66" s="58" t="s">
        <v>74</v>
      </c>
    </row>
    <row r="67" customFormat="false" ht="22.5" hidden="false" customHeight="false" outlineLevel="0" collapsed="false">
      <c r="B67" s="15"/>
      <c r="C67" s="37"/>
      <c r="D67" s="54" t="s">
        <v>71</v>
      </c>
      <c r="E67" s="55" t="s">
        <v>75</v>
      </c>
      <c r="F67" s="19" t="n">
        <f aca="false">60/20*8*60</f>
        <v>1440</v>
      </c>
      <c r="G67" s="20" t="n">
        <f aca="false">F67/8</f>
        <v>180</v>
      </c>
      <c r="H67" s="20" t="n">
        <f aca="false">G67*I67</f>
        <v>180</v>
      </c>
      <c r="I67" s="21" t="n">
        <v>1</v>
      </c>
      <c r="J67" s="21" t="n">
        <v>150</v>
      </c>
      <c r="K67" s="20" t="n">
        <f aca="false">J67/H67*100</f>
        <v>83.3333333333333</v>
      </c>
      <c r="L67" s="20" t="n">
        <v>30</v>
      </c>
      <c r="M67" s="59" t="s">
        <v>41</v>
      </c>
      <c r="N67" s="20" t="n">
        <v>1</v>
      </c>
      <c r="O67" s="20" t="n">
        <v>0</v>
      </c>
      <c r="P67" s="58"/>
    </row>
    <row r="68" customFormat="false" ht="15" hidden="false" customHeight="false" outlineLevel="0" collapsed="false">
      <c r="B68" s="15"/>
      <c r="C68" s="37"/>
      <c r="D68" s="54" t="s">
        <v>28</v>
      </c>
      <c r="E68" s="36" t="s">
        <v>76</v>
      </c>
      <c r="F68" s="19" t="n">
        <f aca="false">60/10*8*60</f>
        <v>2880</v>
      </c>
      <c r="G68" s="20" t="n">
        <f aca="false">F68/8</f>
        <v>360</v>
      </c>
      <c r="H68" s="20" t="n">
        <f aca="false">G68*I68</f>
        <v>1440</v>
      </c>
      <c r="I68" s="21" t="n">
        <v>4</v>
      </c>
      <c r="J68" s="21" t="n">
        <v>1300</v>
      </c>
      <c r="K68" s="20" t="n">
        <f aca="false">J68/H68*100</f>
        <v>90.2777777777778</v>
      </c>
      <c r="L68" s="20"/>
      <c r="M68" s="25"/>
      <c r="N68" s="20" t="n">
        <v>1</v>
      </c>
      <c r="O68" s="20" t="n">
        <v>0</v>
      </c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1980</v>
      </c>
      <c r="I70" s="75"/>
      <c r="J70" s="41" t="n">
        <f aca="false">SUM(J66:J69)</f>
        <v>1718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17021.6</v>
      </c>
      <c r="I71" s="79" t="s">
        <v>25</v>
      </c>
      <c r="J71" s="78" t="n">
        <f aca="false">J9+J12+J15+J18+J30+J39+J47+J55+J58+J61+J65+J70+J21</f>
        <v>14438</v>
      </c>
      <c r="K71" s="80" t="n">
        <f aca="false">J71/H71</f>
        <v>0.848216383888706</v>
      </c>
      <c r="L71" s="80"/>
      <c r="M71" s="81"/>
      <c r="N71" s="82" t="s">
        <v>79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O14" activeCellId="0" sqref="O14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80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81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/>
      <c r="E6" s="18"/>
      <c r="F6" s="19"/>
      <c r="G6" s="20"/>
      <c r="H6" s="20"/>
      <c r="I6" s="21"/>
      <c r="J6" s="21"/>
      <c r="K6" s="20"/>
      <c r="L6" s="22"/>
      <c r="M6" s="23"/>
      <c r="N6" s="19"/>
      <c r="O6" s="19"/>
      <c r="P6" s="24"/>
    </row>
    <row r="7" customFormat="false" ht="15.75" hidden="false" customHeight="false" outlineLevel="0" collapsed="false">
      <c r="B7" s="15"/>
      <c r="C7" s="16"/>
      <c r="D7" s="17"/>
      <c r="E7" s="18"/>
      <c r="F7" s="19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0</v>
      </c>
      <c r="I9" s="30"/>
      <c r="J9" s="29" t="n">
        <f aca="false">SUM(J6:J8)</f>
        <v>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22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960</v>
      </c>
      <c r="I13" s="21" t="n">
        <v>8</v>
      </c>
      <c r="J13" s="21" t="n">
        <v>872</v>
      </c>
      <c r="K13" s="20" t="n">
        <f aca="false">J13/H13*100</f>
        <v>90.8333333333333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960</v>
      </c>
      <c r="I15" s="42"/>
      <c r="J15" s="41" t="n">
        <f aca="false">SUM(J13:J14)</f>
        <v>872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/>
      <c r="E19" s="18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35"/>
      <c r="E20" s="36"/>
      <c r="F20" s="20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52</v>
      </c>
      <c r="E22" s="55" t="s">
        <v>50</v>
      </c>
      <c r="F22" s="19" t="n">
        <f aca="false">60/12*8*60</f>
        <v>2400</v>
      </c>
      <c r="G22" s="20" t="n">
        <f aca="false">F22/8</f>
        <v>300</v>
      </c>
      <c r="H22" s="20" t="n">
        <f aca="false">G22*I22</f>
        <v>750</v>
      </c>
      <c r="I22" s="21" t="n">
        <v>2.5</v>
      </c>
      <c r="J22" s="21" t="n">
        <v>615</v>
      </c>
      <c r="K22" s="20" t="n">
        <f aca="false">J22/H22*100</f>
        <v>82</v>
      </c>
      <c r="L22" s="22"/>
      <c r="M22" s="23"/>
      <c r="N22" s="19" t="n">
        <v>1</v>
      </c>
      <c r="O22" s="19" t="n">
        <v>1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45</v>
      </c>
      <c r="E23" s="55" t="s">
        <v>82</v>
      </c>
      <c r="F23" s="19" t="n">
        <f aca="false">60/25*8*60</f>
        <v>1152</v>
      </c>
      <c r="G23" s="20" t="n">
        <f aca="false">F23/8</f>
        <v>144</v>
      </c>
      <c r="H23" s="20" t="n">
        <f aca="false">G23*I23</f>
        <v>72</v>
      </c>
      <c r="I23" s="21" t="n">
        <v>0.5</v>
      </c>
      <c r="J23" s="21" t="n">
        <v>60</v>
      </c>
      <c r="K23" s="20" t="n">
        <f aca="false">J23/H23*100</f>
        <v>83.3333333333333</v>
      </c>
      <c r="L23" s="22"/>
      <c r="M23" s="23"/>
      <c r="N23" s="19" t="n">
        <v>1</v>
      </c>
      <c r="O23" s="19" t="n">
        <v>3</v>
      </c>
      <c r="P23" s="56"/>
    </row>
    <row r="24" customFormat="false" ht="15" hidden="false" customHeight="false" outlineLevel="0" collapsed="false">
      <c r="B24" s="50"/>
      <c r="C24" s="53"/>
      <c r="D24" s="54" t="s">
        <v>34</v>
      </c>
      <c r="E24" s="55" t="s">
        <v>22</v>
      </c>
      <c r="F24" s="19" t="n">
        <f aca="false">60/20*8*60</f>
        <v>1440</v>
      </c>
      <c r="G24" s="20" t="n">
        <f aca="false">F24/8</f>
        <v>180</v>
      </c>
      <c r="H24" s="20" t="n">
        <f aca="false">G24*I24</f>
        <v>540</v>
      </c>
      <c r="I24" s="21" t="n">
        <v>3</v>
      </c>
      <c r="J24" s="21" t="n">
        <v>420</v>
      </c>
      <c r="K24" s="20" t="n">
        <f aca="false">J24/H24*100</f>
        <v>77.7777777777778</v>
      </c>
      <c r="L24" s="22"/>
      <c r="M24" s="23"/>
      <c r="N24" s="19" t="n">
        <v>1</v>
      </c>
      <c r="O24" s="19" t="n">
        <v>2</v>
      </c>
      <c r="P24" s="56"/>
    </row>
    <row r="25" customFormat="false" ht="15" hidden="false" customHeight="false" outlineLevel="0" collapsed="false">
      <c r="B25" s="50"/>
      <c r="C25" s="53"/>
      <c r="D25" s="54" t="s">
        <v>21</v>
      </c>
      <c r="E25" s="55" t="s">
        <v>83</v>
      </c>
      <c r="F25" s="19" t="n">
        <f aca="false">60/20*8*60</f>
        <v>1440</v>
      </c>
      <c r="G25" s="20" t="n">
        <f aca="false">F25/8</f>
        <v>180</v>
      </c>
      <c r="H25" s="20" t="n">
        <f aca="false">G25*I25</f>
        <v>450</v>
      </c>
      <c r="I25" s="21" t="n">
        <v>2.5</v>
      </c>
      <c r="J25" s="21" t="n">
        <v>400</v>
      </c>
      <c r="K25" s="20" t="n">
        <f aca="false">J25/H25*100</f>
        <v>88.8888888888889</v>
      </c>
      <c r="L25" s="22"/>
      <c r="M25" s="23"/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 t="s">
        <v>21</v>
      </c>
      <c r="E26" s="55" t="s">
        <v>84</v>
      </c>
      <c r="F26" s="19" t="n">
        <f aca="false">60/20*8*60</f>
        <v>1440</v>
      </c>
      <c r="G26" s="20" t="n">
        <f aca="false">F26/8</f>
        <v>180</v>
      </c>
      <c r="H26" s="20" t="n">
        <f aca="false">G26*I26</f>
        <v>540</v>
      </c>
      <c r="I26" s="21" t="n">
        <v>3</v>
      </c>
      <c r="J26" s="21" t="n">
        <v>500</v>
      </c>
      <c r="K26" s="20" t="n">
        <f aca="false">J26/H26*100</f>
        <v>92.5925925925926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2352</v>
      </c>
      <c r="I30" s="30"/>
      <c r="J30" s="29" t="n">
        <f aca="false">SUM(J22:J29)</f>
        <v>1995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34</v>
      </c>
      <c r="E31" s="55" t="s">
        <v>50</v>
      </c>
      <c r="F31" s="19" t="n">
        <f aca="false">60/12*8*60</f>
        <v>2400</v>
      </c>
      <c r="G31" s="20" t="n">
        <f aca="false">F31/8</f>
        <v>300</v>
      </c>
      <c r="H31" s="20" t="n">
        <f aca="false">G31*I31</f>
        <v>750</v>
      </c>
      <c r="I31" s="21" t="n">
        <v>2.5</v>
      </c>
      <c r="J31" s="21" t="n">
        <v>615</v>
      </c>
      <c r="K31" s="20" t="n">
        <f aca="false">J31/H31*100</f>
        <v>82</v>
      </c>
      <c r="L31" s="20"/>
      <c r="M31" s="25"/>
      <c r="N31" s="19" t="n">
        <v>1</v>
      </c>
      <c r="O31" s="19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85</v>
      </c>
      <c r="E32" s="55" t="s">
        <v>86</v>
      </c>
      <c r="F32" s="20" t="n">
        <f aca="false">60/30*8*60</f>
        <v>960</v>
      </c>
      <c r="G32" s="20" t="n">
        <f aca="false">F32/8</f>
        <v>120</v>
      </c>
      <c r="H32" s="20" t="n">
        <f aca="false">G32*I32</f>
        <v>180</v>
      </c>
      <c r="I32" s="21" t="n">
        <v>1.5</v>
      </c>
      <c r="J32" s="21" t="n">
        <v>160</v>
      </c>
      <c r="K32" s="20" t="n">
        <f aca="false">J32/H32*100</f>
        <v>88.8888888888889</v>
      </c>
      <c r="L32" s="20"/>
      <c r="M32" s="25"/>
      <c r="N32" s="19" t="n">
        <v>1</v>
      </c>
      <c r="O32" s="19" t="n">
        <v>3</v>
      </c>
      <c r="P32" s="58"/>
    </row>
    <row r="33" customFormat="false" ht="15" hidden="false" customHeight="false" outlineLevel="0" collapsed="false">
      <c r="B33" s="15"/>
      <c r="C33" s="16"/>
      <c r="D33" s="54" t="s">
        <v>87</v>
      </c>
      <c r="E33" s="55" t="s">
        <v>22</v>
      </c>
      <c r="F33" s="19" t="n">
        <f aca="false">60/20*8*60</f>
        <v>1440</v>
      </c>
      <c r="G33" s="20" t="n">
        <f aca="false">F33/8</f>
        <v>180</v>
      </c>
      <c r="H33" s="20" t="n">
        <f aca="false">G33*I33</f>
        <v>360</v>
      </c>
      <c r="I33" s="21" t="n">
        <v>2</v>
      </c>
      <c r="J33" s="21" t="n">
        <v>300</v>
      </c>
      <c r="K33" s="20" t="n">
        <f aca="false">J33/H33*100</f>
        <v>83.3333333333333</v>
      </c>
      <c r="L33" s="20"/>
      <c r="M33" s="25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28</v>
      </c>
      <c r="E34" s="55" t="s">
        <v>84</v>
      </c>
      <c r="F34" s="19" t="n">
        <f aca="false">60/20*8*60</f>
        <v>1440</v>
      </c>
      <c r="G34" s="20" t="n">
        <f aca="false">F34/8</f>
        <v>180</v>
      </c>
      <c r="H34" s="20" t="n">
        <f aca="false">G34*I34</f>
        <v>900</v>
      </c>
      <c r="I34" s="21" t="n">
        <v>5</v>
      </c>
      <c r="J34" s="21" t="n">
        <v>800</v>
      </c>
      <c r="K34" s="20" t="n">
        <f aca="false">J34/H34*100</f>
        <v>88.8888888888889</v>
      </c>
      <c r="L34" s="20"/>
      <c r="M34" s="25"/>
      <c r="N34" s="20" t="n">
        <v>1</v>
      </c>
      <c r="O34" s="20" t="n">
        <v>2</v>
      </c>
      <c r="P34" s="58"/>
    </row>
    <row r="35" customFormat="false" ht="15" hidden="false" customHeight="false" outlineLevel="0" collapsed="false">
      <c r="B35" s="15"/>
      <c r="C35" s="16"/>
      <c r="D35" s="54"/>
      <c r="E35" s="55"/>
      <c r="F35" s="19"/>
      <c r="G35" s="20"/>
      <c r="H35" s="20"/>
      <c r="I35" s="21"/>
      <c r="J35" s="21"/>
      <c r="K35" s="20"/>
      <c r="L35" s="22"/>
      <c r="M35" s="23"/>
      <c r="N35" s="19"/>
      <c r="O35" s="19"/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19"/>
      <c r="G36" s="20"/>
      <c r="H36" s="20"/>
      <c r="I36" s="21"/>
      <c r="J36" s="21"/>
      <c r="K36" s="20"/>
      <c r="L36" s="22"/>
      <c r="M36" s="2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20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2190</v>
      </c>
      <c r="I39" s="42"/>
      <c r="J39" s="49" t="n">
        <f aca="false">SUM(J31:J38)</f>
        <v>1875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88</v>
      </c>
      <c r="E40" s="55" t="s">
        <v>50</v>
      </c>
      <c r="F40" s="19" t="n">
        <f aca="false">60/12*8*60</f>
        <v>2400</v>
      </c>
      <c r="G40" s="20" t="n">
        <f aca="false">F40/8</f>
        <v>300</v>
      </c>
      <c r="H40" s="20" t="n">
        <f aca="false">G40*I40</f>
        <v>750</v>
      </c>
      <c r="I40" s="21" t="n">
        <v>2.5</v>
      </c>
      <c r="J40" s="21" t="n">
        <v>615</v>
      </c>
      <c r="K40" s="20" t="n">
        <f aca="false">J40/H40*100</f>
        <v>82</v>
      </c>
      <c r="L40" s="20"/>
      <c r="M40" s="25"/>
      <c r="N40" s="19" t="n">
        <v>1</v>
      </c>
      <c r="O40" s="19" t="n">
        <v>1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28</v>
      </c>
      <c r="E41" s="55" t="s">
        <v>89</v>
      </c>
      <c r="F41" s="19" t="n">
        <f aca="false">60/10*8*60</f>
        <v>2880</v>
      </c>
      <c r="G41" s="20" t="n">
        <f aca="false">F41/8</f>
        <v>360</v>
      </c>
      <c r="H41" s="20" t="n">
        <f aca="false">G41*I41</f>
        <v>900</v>
      </c>
      <c r="I41" s="21" t="n">
        <v>2.5</v>
      </c>
      <c r="J41" s="21" t="n">
        <v>718</v>
      </c>
      <c r="K41" s="20" t="n">
        <f aca="false">J41/H41*100</f>
        <v>79.7777777777778</v>
      </c>
      <c r="L41" s="22"/>
      <c r="M41" s="23"/>
      <c r="N41" s="19" t="n">
        <v>1</v>
      </c>
      <c r="O41" s="19" t="n">
        <v>1</v>
      </c>
      <c r="P41" s="61"/>
    </row>
    <row r="42" customFormat="false" ht="15" hidden="false" customHeight="false" outlineLevel="0" collapsed="false">
      <c r="B42" s="45"/>
      <c r="C42" s="60"/>
      <c r="D42" s="54" t="s">
        <v>90</v>
      </c>
      <c r="E42" s="55" t="s">
        <v>48</v>
      </c>
      <c r="F42" s="19" t="n">
        <f aca="false">60/18*8*60</f>
        <v>1600</v>
      </c>
      <c r="G42" s="20" t="n">
        <f aca="false">F42/8</f>
        <v>200</v>
      </c>
      <c r="H42" s="20" t="n">
        <f aca="false">G42*I42</f>
        <v>200</v>
      </c>
      <c r="I42" s="21" t="n">
        <v>1</v>
      </c>
      <c r="J42" s="21" t="n">
        <v>180</v>
      </c>
      <c r="K42" s="20" t="n">
        <f aca="false">J42/H42*100</f>
        <v>90</v>
      </c>
      <c r="L42" s="22"/>
      <c r="M42" s="23"/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 t="s">
        <v>21</v>
      </c>
      <c r="E43" s="55" t="s">
        <v>55</v>
      </c>
      <c r="F43" s="19" t="n">
        <f aca="false">60/12*8*60</f>
        <v>2400</v>
      </c>
      <c r="G43" s="20" t="n">
        <f aca="false">F43/8</f>
        <v>300</v>
      </c>
      <c r="H43" s="20" t="n">
        <f aca="false">G43*I43</f>
        <v>1800</v>
      </c>
      <c r="I43" s="21" t="n">
        <v>6</v>
      </c>
      <c r="J43" s="21" t="n">
        <v>1400</v>
      </c>
      <c r="K43" s="20" t="n">
        <f aca="false">J43/H43*100</f>
        <v>77.7777777777778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20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20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3650</v>
      </c>
      <c r="I47" s="63"/>
      <c r="J47" s="41" t="n">
        <f aca="false">SUM(J40:J46)</f>
        <v>2913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43</v>
      </c>
      <c r="E48" s="55" t="s">
        <v>50</v>
      </c>
      <c r="F48" s="19" t="n">
        <f aca="false">60/10*8*60</f>
        <v>2880</v>
      </c>
      <c r="G48" s="20" t="n">
        <f aca="false">F48/8</f>
        <v>360</v>
      </c>
      <c r="H48" s="20" t="n">
        <f aca="false">G48*I48</f>
        <v>720</v>
      </c>
      <c r="I48" s="21" t="n">
        <v>2</v>
      </c>
      <c r="J48" s="21" t="n">
        <v>600</v>
      </c>
      <c r="K48" s="20" t="n">
        <f aca="false">J48/H48*100</f>
        <v>83.3333333333333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34</v>
      </c>
      <c r="E49" s="55" t="s">
        <v>89</v>
      </c>
      <c r="F49" s="19" t="n">
        <f aca="false">60/10*8*60</f>
        <v>2880</v>
      </c>
      <c r="G49" s="20" t="n">
        <f aca="false">F49/8</f>
        <v>360</v>
      </c>
      <c r="H49" s="20" t="n">
        <f aca="false">G49*I49</f>
        <v>900</v>
      </c>
      <c r="I49" s="21" t="n">
        <v>2.5</v>
      </c>
      <c r="J49" s="21" t="n">
        <v>718</v>
      </c>
      <c r="K49" s="20" t="n">
        <f aca="false">J49/H49*100</f>
        <v>79.7777777777778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21</v>
      </c>
      <c r="E50" s="55" t="s">
        <v>89</v>
      </c>
      <c r="F50" s="19" t="n">
        <f aca="false">60/10*8*60</f>
        <v>2880</v>
      </c>
      <c r="G50" s="20" t="n">
        <f aca="false">F50/8</f>
        <v>360</v>
      </c>
      <c r="H50" s="20" t="n">
        <f aca="false">G50*I50</f>
        <v>540</v>
      </c>
      <c r="I50" s="21" t="n">
        <v>1.5</v>
      </c>
      <c r="J50" s="21" t="n">
        <v>510</v>
      </c>
      <c r="K50" s="20" t="n">
        <f aca="false">J50/H50*100</f>
        <v>94.4444444444444</v>
      </c>
      <c r="L50" s="22"/>
      <c r="M50" s="23"/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 t="s">
        <v>28</v>
      </c>
      <c r="E51" s="55" t="s">
        <v>55</v>
      </c>
      <c r="F51" s="19" t="n">
        <f aca="false">60/8*8*60</f>
        <v>3600</v>
      </c>
      <c r="G51" s="20" t="n">
        <f aca="false">F51/8</f>
        <v>450</v>
      </c>
      <c r="H51" s="20" t="n">
        <f aca="false">G51*I51</f>
        <v>2700</v>
      </c>
      <c r="I51" s="21" t="n">
        <v>6</v>
      </c>
      <c r="J51" s="21" t="n">
        <v>2440</v>
      </c>
      <c r="K51" s="20" t="n">
        <f aca="false">J51/H51*100</f>
        <v>90.3703703703704</v>
      </c>
      <c r="L51" s="22"/>
      <c r="M51" s="23"/>
      <c r="N51" s="19" t="n">
        <v>1</v>
      </c>
      <c r="O51" s="19" t="n">
        <v>1</v>
      </c>
      <c r="P51" s="61"/>
    </row>
    <row r="52" customFormat="false" ht="15" hidden="false" customHeight="false" outlineLevel="0" collapsed="false">
      <c r="B52" s="45"/>
      <c r="C52" s="64"/>
      <c r="D52" s="54"/>
      <c r="E52" s="55"/>
      <c r="F52" s="19"/>
      <c r="G52" s="20"/>
      <c r="H52" s="20"/>
      <c r="I52" s="21"/>
      <c r="J52" s="21"/>
      <c r="K52" s="20"/>
      <c r="L52" s="20"/>
      <c r="M52" s="25"/>
      <c r="N52" s="19"/>
      <c r="O52" s="19"/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35"/>
      <c r="E54" s="55"/>
      <c r="F54" s="19"/>
      <c r="G54" s="20"/>
      <c r="H54" s="20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SUM(H48:H53)</f>
        <v>4860</v>
      </c>
      <c r="I55" s="42"/>
      <c r="J55" s="41" t="n">
        <f aca="false">SUM(J48:J53)</f>
        <v>4268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8" t="s">
        <v>64</v>
      </c>
      <c r="E58" s="8"/>
      <c r="F58" s="8"/>
      <c r="G58" s="8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70"/>
      <c r="E59" s="18"/>
      <c r="F59" s="26"/>
      <c r="G59" s="26"/>
      <c r="H59" s="26"/>
      <c r="I59" s="27"/>
      <c r="J59" s="27"/>
      <c r="K59" s="26"/>
      <c r="L59" s="26"/>
      <c r="M59" s="28"/>
      <c r="N59" s="26"/>
      <c r="O59" s="26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50</v>
      </c>
      <c r="F62" s="19" t="n">
        <f aca="false">60/10*8*60</f>
        <v>2880</v>
      </c>
      <c r="G62" s="19" t="n">
        <f aca="false">F62/8</f>
        <v>360</v>
      </c>
      <c r="H62" s="19" t="n">
        <f aca="false">G62*I62</f>
        <v>720</v>
      </c>
      <c r="I62" s="72" t="n">
        <v>2</v>
      </c>
      <c r="J62" s="72" t="n">
        <v>600</v>
      </c>
      <c r="K62" s="19" t="n">
        <f aca="false">J62/H62*100</f>
        <v>83.3333333333333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55</v>
      </c>
      <c r="F63" s="19" t="n">
        <f aca="false">60/10*8*60</f>
        <v>2880</v>
      </c>
      <c r="G63" s="19" t="n">
        <f aca="false">F63/8</f>
        <v>360</v>
      </c>
      <c r="H63" s="19" t="n">
        <f aca="false">G63*I63</f>
        <v>1260</v>
      </c>
      <c r="I63" s="72" t="n">
        <v>3.5</v>
      </c>
      <c r="J63" s="72" t="n">
        <v>1072</v>
      </c>
      <c r="K63" s="19" t="n">
        <f aca="false">J63/H63*100</f>
        <v>85.0793650793651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8" t="s">
        <v>23</v>
      </c>
      <c r="E65" s="8"/>
      <c r="F65" s="8"/>
      <c r="G65" s="8"/>
      <c r="H65" s="57" t="n">
        <f aca="false">SUM(H62:H64)</f>
        <v>1980</v>
      </c>
      <c r="I65" s="30"/>
      <c r="J65" s="29" t="n">
        <f aca="false">SUM(J62:J64)</f>
        <v>1672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54" t="s">
        <v>21</v>
      </c>
      <c r="E66" s="55" t="s">
        <v>91</v>
      </c>
      <c r="F66" s="19" t="n">
        <f aca="false">60/20*8*60</f>
        <v>1440</v>
      </c>
      <c r="G66" s="20" t="n">
        <f aca="false">F66/8</f>
        <v>180</v>
      </c>
      <c r="H66" s="20" t="n">
        <f aca="false">G66*I66</f>
        <v>450</v>
      </c>
      <c r="I66" s="21" t="n">
        <v>2.5</v>
      </c>
      <c r="J66" s="21" t="n">
        <v>1000</v>
      </c>
      <c r="K66" s="20" t="n">
        <f aca="false">J66/H66*100</f>
        <v>222.222222222222</v>
      </c>
      <c r="L66" s="22"/>
      <c r="M66" s="23"/>
      <c r="N66" s="20" t="n">
        <v>1</v>
      </c>
      <c r="O66" s="20" t="n">
        <v>1</v>
      </c>
      <c r="P66" s="58" t="s">
        <v>74</v>
      </c>
    </row>
    <row r="67" customFormat="false" ht="15" hidden="false" customHeight="false" outlineLevel="0" collapsed="false">
      <c r="B67" s="15"/>
      <c r="C67" s="37"/>
      <c r="D67" s="54" t="s">
        <v>52</v>
      </c>
      <c r="E67" s="55" t="s">
        <v>89</v>
      </c>
      <c r="F67" s="19" t="n">
        <f aca="false">60/20*8*60</f>
        <v>1440</v>
      </c>
      <c r="G67" s="20" t="n">
        <f aca="false">F67/8</f>
        <v>180</v>
      </c>
      <c r="H67" s="20" t="n">
        <f aca="false">G67*I67</f>
        <v>810</v>
      </c>
      <c r="I67" s="21" t="n">
        <v>4.5</v>
      </c>
      <c r="J67" s="21" t="n">
        <v>718</v>
      </c>
      <c r="K67" s="20" t="n">
        <f aca="false">J67/H67*100</f>
        <v>88.641975308642</v>
      </c>
      <c r="L67" s="20"/>
      <c r="M67" s="25"/>
      <c r="N67" s="20" t="n">
        <v>1</v>
      </c>
      <c r="O67" s="20" t="n">
        <v>0</v>
      </c>
      <c r="P67" s="58"/>
    </row>
    <row r="68" customFormat="false" ht="15" hidden="false" customHeight="false" outlineLevel="0" collapsed="false">
      <c r="B68" s="15"/>
      <c r="C68" s="37"/>
      <c r="D68" s="54"/>
      <c r="E68" s="36"/>
      <c r="F68" s="19"/>
      <c r="G68" s="20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1260</v>
      </c>
      <c r="I70" s="75"/>
      <c r="J70" s="41" t="n">
        <f aca="false">SUM(J66:J69)</f>
        <v>1718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18512</v>
      </c>
      <c r="I71" s="79" t="s">
        <v>25</v>
      </c>
      <c r="J71" s="78" t="n">
        <f aca="false">J9+J12+J15+J18+J30+J39+J47+J55+J58+J61+J65+J70+J21</f>
        <v>16313</v>
      </c>
      <c r="K71" s="80" t="n">
        <f aca="false">J71/H71</f>
        <v>0.881212186689715</v>
      </c>
      <c r="L71" s="80"/>
      <c r="M71" s="81"/>
      <c r="N71" s="82" t="s">
        <v>92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J63" activeCellId="0" sqref="J63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93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94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7" t="s">
        <v>35</v>
      </c>
      <c r="F6" s="19" t="n">
        <f aca="false">60/60*8*60</f>
        <v>480</v>
      </c>
      <c r="G6" s="20" t="n">
        <f aca="false">F6/8</f>
        <v>60</v>
      </c>
      <c r="H6" s="20" t="n">
        <f aca="false">G6*I6</f>
        <v>240</v>
      </c>
      <c r="I6" s="21" t="n">
        <v>4</v>
      </c>
      <c r="J6" s="21" t="n">
        <v>224</v>
      </c>
      <c r="K6" s="20" t="n">
        <f aca="false">J6/H6*100</f>
        <v>93.3333333333333</v>
      </c>
      <c r="L6" s="22"/>
      <c r="M6" s="23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19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240</v>
      </c>
      <c r="I9" s="30"/>
      <c r="J9" s="29" t="n">
        <f aca="false">SUM(J6:J8)</f>
        <v>224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240</v>
      </c>
      <c r="I13" s="21" t="n">
        <v>2</v>
      </c>
      <c r="J13" s="21" t="n">
        <v>200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240</v>
      </c>
      <c r="I15" s="42"/>
      <c r="J15" s="41" t="n">
        <f aca="false">SUM(J13:J14)</f>
        <v>200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 t="s">
        <v>21</v>
      </c>
      <c r="E19" s="18" t="s">
        <v>95</v>
      </c>
      <c r="F19" s="19" t="n">
        <f aca="false">60/30*8*60</f>
        <v>960</v>
      </c>
      <c r="G19" s="20" t="n">
        <f aca="false">F19/8</f>
        <v>120</v>
      </c>
      <c r="H19" s="20" t="n">
        <f aca="false">G19*I19</f>
        <v>420</v>
      </c>
      <c r="I19" s="21" t="n">
        <v>3.5</v>
      </c>
      <c r="J19" s="21" t="n">
        <v>380</v>
      </c>
      <c r="K19" s="20" t="n">
        <f aca="false">J19/H19*100</f>
        <v>90.4761904761905</v>
      </c>
      <c r="L19" s="20"/>
      <c r="M19" s="25"/>
      <c r="N19" s="19" t="n">
        <v>1</v>
      </c>
      <c r="O19" s="19" t="n">
        <v>0</v>
      </c>
      <c r="P19" s="52"/>
    </row>
    <row r="20" customFormat="false" ht="15" hidden="false" customHeight="false" outlineLevel="0" collapsed="false">
      <c r="B20" s="50"/>
      <c r="C20" s="51"/>
      <c r="D20" s="35" t="s">
        <v>34</v>
      </c>
      <c r="E20" s="36" t="s">
        <v>35</v>
      </c>
      <c r="F20" s="19" t="n">
        <f aca="false">60/30*8*60</f>
        <v>960</v>
      </c>
      <c r="G20" s="20" t="n">
        <f aca="false">F20/8</f>
        <v>120</v>
      </c>
      <c r="H20" s="20" t="n">
        <f aca="false">G20*I20</f>
        <v>240</v>
      </c>
      <c r="I20" s="21" t="n">
        <v>2</v>
      </c>
      <c r="J20" s="21" t="n">
        <v>224</v>
      </c>
      <c r="K20" s="20" t="n">
        <f aca="false">J20/H20*100</f>
        <v>93.3333333333333</v>
      </c>
      <c r="L20" s="20"/>
      <c r="M20" s="25"/>
      <c r="N20" s="20" t="n">
        <v>1</v>
      </c>
      <c r="O20" s="20" t="n">
        <v>0</v>
      </c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660</v>
      </c>
      <c r="I21" s="30"/>
      <c r="J21" s="29" t="n">
        <f aca="false">SUM(J19:J20)</f>
        <v>604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21</v>
      </c>
      <c r="E22" s="55" t="s">
        <v>96</v>
      </c>
      <c r="F22" s="19" t="n">
        <f aca="false">60/15*8*60</f>
        <v>1920</v>
      </c>
      <c r="G22" s="20" t="n">
        <f aca="false">F22/8</f>
        <v>240</v>
      </c>
      <c r="H22" s="20" t="n">
        <f aca="false">G22*I22</f>
        <v>600</v>
      </c>
      <c r="I22" s="21" t="n">
        <v>2.5</v>
      </c>
      <c r="J22" s="21" t="n">
        <v>512</v>
      </c>
      <c r="K22" s="20" t="n">
        <f aca="false">J22/H22*100</f>
        <v>85.3333333333334</v>
      </c>
      <c r="L22" s="22" t="n">
        <v>20</v>
      </c>
      <c r="M22" s="83" t="s">
        <v>97</v>
      </c>
      <c r="N22" s="19" t="n">
        <v>1</v>
      </c>
      <c r="O22" s="19" t="n">
        <v>1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21</v>
      </c>
      <c r="E23" s="55" t="s">
        <v>98</v>
      </c>
      <c r="F23" s="19" t="n">
        <f aca="false">60/15*8*60</f>
        <v>1920</v>
      </c>
      <c r="G23" s="20" t="n">
        <f aca="false">F23/8</f>
        <v>240</v>
      </c>
      <c r="H23" s="20" t="n">
        <f aca="false">G23*I23</f>
        <v>600</v>
      </c>
      <c r="I23" s="21" t="n">
        <v>2.5</v>
      </c>
      <c r="J23" s="21" t="n">
        <v>508</v>
      </c>
      <c r="K23" s="20" t="n">
        <f aca="false">J23/H23*100</f>
        <v>84.6666666666667</v>
      </c>
      <c r="L23" s="22"/>
      <c r="M23" s="23"/>
      <c r="N23" s="19" t="n">
        <v>1</v>
      </c>
      <c r="O23" s="19" t="n">
        <v>1</v>
      </c>
      <c r="P23" s="56"/>
    </row>
    <row r="24" customFormat="false" ht="15" hidden="false" customHeight="false" outlineLevel="0" collapsed="false">
      <c r="B24" s="50"/>
      <c r="C24" s="53"/>
      <c r="D24" s="54" t="s">
        <v>99</v>
      </c>
      <c r="E24" s="55" t="s">
        <v>35</v>
      </c>
      <c r="F24" s="19" t="n">
        <f aca="false">60/25*8*60</f>
        <v>1152</v>
      </c>
      <c r="G24" s="20" t="n">
        <f aca="false">F24/8</f>
        <v>144</v>
      </c>
      <c r="H24" s="20" t="n">
        <f aca="false">G24*I24</f>
        <v>288</v>
      </c>
      <c r="I24" s="21" t="n">
        <v>2</v>
      </c>
      <c r="J24" s="21" t="n">
        <v>224</v>
      </c>
      <c r="K24" s="20" t="n">
        <f aca="false">J24/H24*100</f>
        <v>77.7777777777778</v>
      </c>
      <c r="L24" s="22"/>
      <c r="M24" s="23"/>
      <c r="N24" s="19" t="n">
        <v>1</v>
      </c>
      <c r="O24" s="19" t="n">
        <v>2</v>
      </c>
      <c r="P24" s="56"/>
    </row>
    <row r="25" customFormat="false" ht="22.5" hidden="false" customHeight="false" outlineLevel="0" collapsed="false">
      <c r="B25" s="50"/>
      <c r="C25" s="53"/>
      <c r="D25" s="54" t="s">
        <v>100</v>
      </c>
      <c r="E25" s="55" t="s">
        <v>35</v>
      </c>
      <c r="F25" s="19" t="n">
        <f aca="false">60/25*8*60</f>
        <v>1152</v>
      </c>
      <c r="G25" s="20" t="n">
        <f aca="false">F25/8</f>
        <v>144</v>
      </c>
      <c r="H25" s="20" t="n">
        <f aca="false">G25*I25</f>
        <v>288</v>
      </c>
      <c r="I25" s="21" t="n">
        <v>2</v>
      </c>
      <c r="J25" s="21" t="n">
        <v>224</v>
      </c>
      <c r="K25" s="20" t="n">
        <f aca="false">J25/H25*100</f>
        <v>77.7777777777778</v>
      </c>
      <c r="L25" s="22" t="n">
        <v>10</v>
      </c>
      <c r="M25" s="83" t="s">
        <v>101</v>
      </c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 t="s">
        <v>102</v>
      </c>
      <c r="E26" s="55" t="s">
        <v>103</v>
      </c>
      <c r="F26" s="19" t="n">
        <f aca="false">60/30*8*60</f>
        <v>960</v>
      </c>
      <c r="G26" s="20" t="n">
        <f aca="false">F26/8</f>
        <v>120</v>
      </c>
      <c r="H26" s="20" t="n">
        <f aca="false">G26*I26</f>
        <v>240</v>
      </c>
      <c r="I26" s="21" t="n">
        <v>2</v>
      </c>
      <c r="J26" s="21" t="n">
        <f aca="false">64+48+14+40+37</f>
        <v>203</v>
      </c>
      <c r="K26" s="20" t="n">
        <f aca="false">J26/H26*100</f>
        <v>84.5833333333333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 t="s">
        <v>28</v>
      </c>
      <c r="E27" s="55" t="s">
        <v>104</v>
      </c>
      <c r="F27" s="20" t="n">
        <f aca="false">60/8*8*60</f>
        <v>3600</v>
      </c>
      <c r="G27" s="20" t="n">
        <f aca="false">F27/8</f>
        <v>450</v>
      </c>
      <c r="H27" s="20" t="n">
        <f aca="false">G27*I27</f>
        <v>1350</v>
      </c>
      <c r="I27" s="21" t="n">
        <v>3</v>
      </c>
      <c r="J27" s="21" t="n">
        <v>1200</v>
      </c>
      <c r="K27" s="20" t="n">
        <f aca="false">J27/H27*100</f>
        <v>88.8888888888889</v>
      </c>
      <c r="L27" s="22"/>
      <c r="M27" s="23"/>
      <c r="N27" s="19" t="n">
        <v>1</v>
      </c>
      <c r="O27" s="19" t="n">
        <v>2</v>
      </c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3366</v>
      </c>
      <c r="I30" s="30"/>
      <c r="J30" s="29" t="n">
        <f aca="false">SUM(J22:J29)</f>
        <v>2871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28</v>
      </c>
      <c r="E31" s="55" t="s">
        <v>105</v>
      </c>
      <c r="F31" s="20" t="n">
        <f aca="false">60/8*8*60</f>
        <v>3600</v>
      </c>
      <c r="G31" s="20" t="n">
        <f aca="false">F31/8</f>
        <v>450</v>
      </c>
      <c r="H31" s="20" t="n">
        <f aca="false">G31*I31</f>
        <v>1800</v>
      </c>
      <c r="I31" s="21" t="n">
        <v>4</v>
      </c>
      <c r="J31" s="21" t="n">
        <f aca="false">900+785</f>
        <v>1685</v>
      </c>
      <c r="K31" s="20" t="n">
        <f aca="false">J31/H31*100</f>
        <v>93.6111111111111</v>
      </c>
      <c r="L31" s="20"/>
      <c r="M31" s="25"/>
      <c r="N31" s="20" t="n">
        <v>1</v>
      </c>
      <c r="O31" s="20" t="n">
        <v>2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106</v>
      </c>
      <c r="E32" s="55" t="s">
        <v>107</v>
      </c>
      <c r="F32" s="20" t="n">
        <f aca="false">60/15*8*60</f>
        <v>1920</v>
      </c>
      <c r="G32" s="20" t="n">
        <f aca="false">F32/8</f>
        <v>240</v>
      </c>
      <c r="H32" s="20" t="n">
        <f aca="false">G32*I32</f>
        <v>600</v>
      </c>
      <c r="I32" s="21" t="n">
        <v>2.5</v>
      </c>
      <c r="J32" s="21" t="n">
        <v>508</v>
      </c>
      <c r="K32" s="20" t="n">
        <f aca="false">J32/H32*100</f>
        <v>84.6666666666667</v>
      </c>
      <c r="L32" s="20"/>
      <c r="M32" s="25"/>
      <c r="N32" s="19" t="n">
        <v>1</v>
      </c>
      <c r="O32" s="19" t="n">
        <v>1</v>
      </c>
      <c r="P32" s="58"/>
    </row>
    <row r="33" customFormat="false" ht="22.5" hidden="false" customHeight="false" outlineLevel="0" collapsed="false">
      <c r="B33" s="15"/>
      <c r="C33" s="16"/>
      <c r="D33" s="54" t="s">
        <v>85</v>
      </c>
      <c r="E33" s="55" t="s">
        <v>108</v>
      </c>
      <c r="F33" s="19" t="n">
        <f aca="false">60/30*8*60</f>
        <v>960</v>
      </c>
      <c r="G33" s="20" t="n">
        <f aca="false">F33/8</f>
        <v>120</v>
      </c>
      <c r="H33" s="20" t="n">
        <f aca="false">G33*I33</f>
        <v>300</v>
      </c>
      <c r="I33" s="21" t="n">
        <v>2.5</v>
      </c>
      <c r="J33" s="21" t="n">
        <f aca="false">145+38+60</f>
        <v>243</v>
      </c>
      <c r="K33" s="20" t="n">
        <f aca="false">J33/H33*100</f>
        <v>81</v>
      </c>
      <c r="L33" s="20" t="n">
        <v>10</v>
      </c>
      <c r="M33" s="84" t="s">
        <v>101</v>
      </c>
      <c r="N33" s="20" t="n">
        <v>1</v>
      </c>
      <c r="O33" s="20" t="n">
        <v>3</v>
      </c>
      <c r="P33" s="58"/>
    </row>
    <row r="34" customFormat="false" ht="15" hidden="false" customHeight="false" outlineLevel="0" collapsed="false">
      <c r="B34" s="15"/>
      <c r="C34" s="16"/>
      <c r="D34" s="54" t="s">
        <v>109</v>
      </c>
      <c r="E34" s="55" t="s">
        <v>110</v>
      </c>
      <c r="F34" s="19" t="n">
        <f aca="false">60/25*8*60</f>
        <v>1152</v>
      </c>
      <c r="G34" s="20" t="n">
        <f aca="false">F34/8</f>
        <v>144</v>
      </c>
      <c r="H34" s="20" t="n">
        <f aca="false">G34*I34</f>
        <v>72</v>
      </c>
      <c r="I34" s="21" t="n">
        <v>0.5</v>
      </c>
      <c r="J34" s="21" t="n">
        <v>60</v>
      </c>
      <c r="K34" s="20" t="n">
        <f aca="false">J34/H34*100</f>
        <v>83.3333333333333</v>
      </c>
      <c r="L34" s="20"/>
      <c r="M34" s="25"/>
      <c r="N34" s="20" t="n">
        <v>1</v>
      </c>
      <c r="O34" s="20" t="n">
        <v>3</v>
      </c>
      <c r="P34" s="58"/>
    </row>
    <row r="35" customFormat="false" ht="15" hidden="false" customHeight="false" outlineLevel="0" collapsed="false">
      <c r="B35" s="15"/>
      <c r="C35" s="16"/>
      <c r="D35" s="54" t="s">
        <v>52</v>
      </c>
      <c r="E35" s="55" t="s">
        <v>111</v>
      </c>
      <c r="F35" s="20" t="n">
        <f aca="false">60/15*8*60</f>
        <v>1920</v>
      </c>
      <c r="G35" s="20" t="n">
        <f aca="false">F35/8</f>
        <v>240</v>
      </c>
      <c r="H35" s="20" t="n">
        <f aca="false">G35*I35</f>
        <v>600</v>
      </c>
      <c r="I35" s="21" t="n">
        <v>2.5</v>
      </c>
      <c r="J35" s="21" t="n">
        <v>500</v>
      </c>
      <c r="K35" s="20" t="n">
        <f aca="false">J35/H35*100</f>
        <v>83.3333333333333</v>
      </c>
      <c r="L35" s="22"/>
      <c r="M35" s="23"/>
      <c r="N35" s="19" t="n">
        <v>1</v>
      </c>
      <c r="O35" s="19" t="n">
        <v>1</v>
      </c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19"/>
      <c r="G36" s="20"/>
      <c r="H36" s="20"/>
      <c r="I36" s="21"/>
      <c r="J36" s="21"/>
      <c r="K36" s="20"/>
      <c r="L36" s="22"/>
      <c r="M36" s="2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20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3372</v>
      </c>
      <c r="I39" s="42"/>
      <c r="J39" s="49" t="n">
        <f aca="false">SUM(J31:J38)</f>
        <v>2996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21</v>
      </c>
      <c r="E40" s="55" t="s">
        <v>55</v>
      </c>
      <c r="F40" s="19" t="n">
        <f aca="false">60/10*8*60</f>
        <v>2880</v>
      </c>
      <c r="G40" s="20" t="n">
        <f aca="false">F40/8</f>
        <v>360</v>
      </c>
      <c r="H40" s="20" t="n">
        <f aca="false">G40*I40</f>
        <v>1440</v>
      </c>
      <c r="I40" s="21" t="n">
        <v>4</v>
      </c>
      <c r="J40" s="21" t="n">
        <f aca="false">600+550</f>
        <v>1150</v>
      </c>
      <c r="K40" s="20" t="n">
        <f aca="false">J40/H40*100</f>
        <v>79.8611111111111</v>
      </c>
      <c r="L40" s="20"/>
      <c r="M40" s="25"/>
      <c r="N40" s="19" t="n">
        <v>1</v>
      </c>
      <c r="O40" s="19" t="n">
        <v>1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49</v>
      </c>
      <c r="E41" s="55" t="s">
        <v>72</v>
      </c>
      <c r="F41" s="19" t="n">
        <f aca="false">60/10*8*60</f>
        <v>2880</v>
      </c>
      <c r="G41" s="20" t="n">
        <f aca="false">F41/8</f>
        <v>360</v>
      </c>
      <c r="H41" s="20" t="n">
        <f aca="false">G41*I41</f>
        <v>1260</v>
      </c>
      <c r="I41" s="21" t="n">
        <v>3.5</v>
      </c>
      <c r="J41" s="21" t="n">
        <v>1016</v>
      </c>
      <c r="K41" s="20" t="n">
        <f aca="false">J41/H41*100</f>
        <v>80.6349206349206</v>
      </c>
      <c r="L41" s="22"/>
      <c r="M41" s="23"/>
      <c r="N41" s="19" t="n">
        <v>1</v>
      </c>
      <c r="O41" s="19" t="n">
        <v>1</v>
      </c>
      <c r="P41" s="61"/>
    </row>
    <row r="42" customFormat="false" ht="15" hidden="false" customHeight="false" outlineLevel="0" collapsed="false">
      <c r="B42" s="45"/>
      <c r="C42" s="60"/>
      <c r="D42" s="54" t="s">
        <v>90</v>
      </c>
      <c r="E42" s="55" t="s">
        <v>108</v>
      </c>
      <c r="F42" s="19" t="n">
        <f aca="false">60/30*8*60</f>
        <v>960</v>
      </c>
      <c r="G42" s="20" t="n">
        <f aca="false">F42/8</f>
        <v>120</v>
      </c>
      <c r="H42" s="20" t="n">
        <f aca="false">G42*I42</f>
        <v>300</v>
      </c>
      <c r="I42" s="21" t="n">
        <v>2.5</v>
      </c>
      <c r="J42" s="21" t="n">
        <f aca="false">145+60+38</f>
        <v>243</v>
      </c>
      <c r="K42" s="20" t="n">
        <f aca="false">J42/H42*100</f>
        <v>81</v>
      </c>
      <c r="L42" s="22"/>
      <c r="M42" s="23"/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 t="s">
        <v>43</v>
      </c>
      <c r="E43" s="55" t="s">
        <v>111</v>
      </c>
      <c r="F43" s="19" t="n">
        <f aca="false">60/12*8*60</f>
        <v>2400</v>
      </c>
      <c r="G43" s="20" t="n">
        <f aca="false">F43/8</f>
        <v>300</v>
      </c>
      <c r="H43" s="20" t="n">
        <f aca="false">G43*I43</f>
        <v>750</v>
      </c>
      <c r="I43" s="21" t="n">
        <v>2.5</v>
      </c>
      <c r="J43" s="21" t="n">
        <v>600</v>
      </c>
      <c r="K43" s="20" t="n">
        <f aca="false">J43/H43*100</f>
        <v>80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20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20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3750</v>
      </c>
      <c r="I47" s="63"/>
      <c r="J47" s="41" t="n">
        <f aca="false">SUM(J40:J46)</f>
        <v>3009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106</v>
      </c>
      <c r="E48" s="55" t="s">
        <v>112</v>
      </c>
      <c r="F48" s="19" t="n">
        <f aca="false">60/18*8*60</f>
        <v>1600</v>
      </c>
      <c r="G48" s="20" t="n">
        <f aca="false">F48/8</f>
        <v>200</v>
      </c>
      <c r="H48" s="20" t="n">
        <f aca="false">G48*I48</f>
        <v>300</v>
      </c>
      <c r="I48" s="21" t="n">
        <v>1.5</v>
      </c>
      <c r="J48" s="21" t="n">
        <v>254</v>
      </c>
      <c r="K48" s="20" t="n">
        <f aca="false">J48/H48*100</f>
        <v>84.6666666666667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90</v>
      </c>
      <c r="E49" s="55" t="s">
        <v>112</v>
      </c>
      <c r="F49" s="19" t="n">
        <f aca="false">60/18*8*60</f>
        <v>1600</v>
      </c>
      <c r="G49" s="20" t="n">
        <f aca="false">F49/8</f>
        <v>200</v>
      </c>
      <c r="H49" s="20" t="n">
        <f aca="false">G49*I49</f>
        <v>300</v>
      </c>
      <c r="I49" s="21" t="n">
        <v>1.5</v>
      </c>
      <c r="J49" s="21" t="n">
        <v>254</v>
      </c>
      <c r="K49" s="20" t="n">
        <f aca="false">J49/H49*100</f>
        <v>84.6666666666667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113</v>
      </c>
      <c r="E50" s="55" t="s">
        <v>114</v>
      </c>
      <c r="F50" s="19" t="n">
        <f aca="false">60/30*8*60</f>
        <v>960</v>
      </c>
      <c r="G50" s="20" t="n">
        <f aca="false">F50/8</f>
        <v>120</v>
      </c>
      <c r="H50" s="20" t="n">
        <f aca="false">G50*I50</f>
        <v>240</v>
      </c>
      <c r="I50" s="21" t="n">
        <v>2</v>
      </c>
      <c r="J50" s="21" t="n">
        <f aca="false">145+60</f>
        <v>205</v>
      </c>
      <c r="K50" s="20" t="n">
        <f aca="false">J50/H50*100</f>
        <v>85.4166666666667</v>
      </c>
      <c r="L50" s="22"/>
      <c r="M50" s="23"/>
      <c r="N50" s="19" t="n">
        <v>1</v>
      </c>
      <c r="O50" s="19" t="n">
        <v>3</v>
      </c>
      <c r="P50" s="61"/>
    </row>
    <row r="51" customFormat="false" ht="22.5" hidden="false" customHeight="false" outlineLevel="0" collapsed="false">
      <c r="B51" s="45"/>
      <c r="C51" s="64"/>
      <c r="D51" s="54" t="s">
        <v>109</v>
      </c>
      <c r="E51" s="55" t="s">
        <v>115</v>
      </c>
      <c r="F51" s="19" t="n">
        <f aca="false">60/30*8*60</f>
        <v>960</v>
      </c>
      <c r="G51" s="20" t="n">
        <f aca="false">F51/8</f>
        <v>120</v>
      </c>
      <c r="H51" s="20" t="n">
        <f aca="false">G51*I51</f>
        <v>360</v>
      </c>
      <c r="I51" s="21" t="n">
        <v>3</v>
      </c>
      <c r="J51" s="21" t="n">
        <f aca="false">145+110+37</f>
        <v>292</v>
      </c>
      <c r="K51" s="20" t="n">
        <f aca="false">J51/H51*100</f>
        <v>81.1111111111111</v>
      </c>
      <c r="L51" s="22" t="n">
        <v>20</v>
      </c>
      <c r="M51" s="83" t="s">
        <v>101</v>
      </c>
      <c r="N51" s="19" t="n">
        <v>1</v>
      </c>
      <c r="O51" s="19" t="n">
        <v>3</v>
      </c>
      <c r="P51" s="61"/>
    </row>
    <row r="52" customFormat="false" ht="15" hidden="false" customHeight="false" outlineLevel="0" collapsed="false">
      <c r="B52" s="45"/>
      <c r="C52" s="64"/>
      <c r="D52" s="54" t="s">
        <v>116</v>
      </c>
      <c r="E52" s="55" t="s">
        <v>48</v>
      </c>
      <c r="F52" s="19" t="n">
        <f aca="false">60/18*8*60</f>
        <v>1600</v>
      </c>
      <c r="G52" s="20" t="n">
        <f aca="false">F52/8</f>
        <v>200</v>
      </c>
      <c r="H52" s="20" t="n">
        <f aca="false">G52*I52</f>
        <v>200</v>
      </c>
      <c r="I52" s="21" t="n">
        <v>1</v>
      </c>
      <c r="J52" s="21" t="n">
        <v>180</v>
      </c>
      <c r="K52" s="20" t="n">
        <f aca="false">J52/H52*100</f>
        <v>90</v>
      </c>
      <c r="L52" s="20"/>
      <c r="M52" s="25"/>
      <c r="N52" s="19" t="n">
        <v>1</v>
      </c>
      <c r="O52" s="19" t="n">
        <v>1</v>
      </c>
      <c r="P52" s="61"/>
    </row>
    <row r="53" customFormat="false" ht="15" hidden="false" customHeight="false" outlineLevel="0" collapsed="false">
      <c r="B53" s="45"/>
      <c r="C53" s="64"/>
      <c r="D53" s="54" t="s">
        <v>71</v>
      </c>
      <c r="E53" s="55" t="s">
        <v>48</v>
      </c>
      <c r="F53" s="19" t="n">
        <f aca="false">60/18*8*60</f>
        <v>1600</v>
      </c>
      <c r="G53" s="20" t="n">
        <f aca="false">F53/8</f>
        <v>200</v>
      </c>
      <c r="H53" s="20" t="n">
        <f aca="false">G53*I53</f>
        <v>200</v>
      </c>
      <c r="I53" s="21" t="n">
        <v>1</v>
      </c>
      <c r="J53" s="21" t="n">
        <v>180</v>
      </c>
      <c r="K53" s="20" t="n">
        <f aca="false">J53/H53*100</f>
        <v>90</v>
      </c>
      <c r="L53" s="22"/>
      <c r="M53" s="23"/>
      <c r="N53" s="19" t="n">
        <v>1</v>
      </c>
      <c r="O53" s="19" t="n">
        <v>1</v>
      </c>
      <c r="P53" s="61"/>
    </row>
    <row r="54" customFormat="false" ht="15" hidden="false" customHeight="false" outlineLevel="0" collapsed="false">
      <c r="B54" s="45"/>
      <c r="C54" s="64"/>
      <c r="D54" s="35" t="s">
        <v>34</v>
      </c>
      <c r="E54" s="55" t="s">
        <v>111</v>
      </c>
      <c r="F54" s="19" t="n">
        <f aca="false">60/12*8*60</f>
        <v>2400</v>
      </c>
      <c r="G54" s="20" t="n">
        <f aca="false">F54/8</f>
        <v>300</v>
      </c>
      <c r="H54" s="20" t="n">
        <f aca="false">G54*I54</f>
        <v>600</v>
      </c>
      <c r="I54" s="21" t="n">
        <v>2</v>
      </c>
      <c r="J54" s="21" t="n">
        <v>500</v>
      </c>
      <c r="K54" s="20" t="n">
        <f aca="false">J54/H54*100</f>
        <v>83.3333333333333</v>
      </c>
      <c r="L54" s="22"/>
      <c r="M54" s="23"/>
      <c r="N54" s="65" t="n">
        <v>1</v>
      </c>
      <c r="O54" s="65" t="n">
        <v>0</v>
      </c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2200</v>
      </c>
      <c r="I55" s="42"/>
      <c r="J55" s="41" t="n">
        <f aca="false">SUM(J48:J54)</f>
        <v>1865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8" t="s">
        <v>64</v>
      </c>
      <c r="E58" s="8"/>
      <c r="F58" s="8"/>
      <c r="G58" s="8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70" t="s">
        <v>117</v>
      </c>
      <c r="E59" s="18" t="s">
        <v>118</v>
      </c>
      <c r="F59" s="19" t="n">
        <f aca="false">60/20*8*60</f>
        <v>1440</v>
      </c>
      <c r="G59" s="20" t="n">
        <f aca="false">F59/8</f>
        <v>180</v>
      </c>
      <c r="H59" s="20" t="n">
        <f aca="false">G59*I59</f>
        <v>450</v>
      </c>
      <c r="I59" s="21" t="n">
        <v>2.5</v>
      </c>
      <c r="J59" s="21" t="n">
        <f aca="false">110+60+37+145</f>
        <v>352</v>
      </c>
      <c r="K59" s="20" t="n">
        <f aca="false">J59/H59*100</f>
        <v>78.2222222222222</v>
      </c>
      <c r="L59" s="26"/>
      <c r="M59" s="28"/>
      <c r="N59" s="26"/>
      <c r="O59" s="26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352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119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900</v>
      </c>
      <c r="I62" s="72" t="n">
        <v>5</v>
      </c>
      <c r="J62" s="72" t="n">
        <f aca="false">254+508</f>
        <v>762</v>
      </c>
      <c r="K62" s="19" t="n">
        <f aca="false">J62/H62*100</f>
        <v>84.6666666666667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120</v>
      </c>
      <c r="F63" s="19" t="n">
        <f aca="false">60/20*8*60</f>
        <v>1440</v>
      </c>
      <c r="G63" s="19" t="n">
        <f aca="false">F63/8</f>
        <v>180</v>
      </c>
      <c r="H63" s="19" t="n">
        <f aca="false">G63*I63</f>
        <v>1350</v>
      </c>
      <c r="I63" s="72" t="n">
        <v>7.5</v>
      </c>
      <c r="J63" s="72" t="n">
        <f aca="false">220+1000</f>
        <v>1220</v>
      </c>
      <c r="K63" s="19" t="n">
        <f aca="false">J63/H63*100</f>
        <v>90.3703703703704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8" t="s">
        <v>23</v>
      </c>
      <c r="E65" s="8"/>
      <c r="F65" s="8"/>
      <c r="G65" s="8"/>
      <c r="H65" s="57" t="n">
        <f aca="false">SUM(H62:H64)</f>
        <v>2250</v>
      </c>
      <c r="I65" s="30"/>
      <c r="J65" s="29" t="n">
        <f aca="false">SUM(J62:J64)</f>
        <v>1982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54" t="s">
        <v>71</v>
      </c>
      <c r="E66" s="55" t="s">
        <v>112</v>
      </c>
      <c r="F66" s="19" t="n">
        <f aca="false">60/18*8*60</f>
        <v>1600</v>
      </c>
      <c r="G66" s="20" t="n">
        <f aca="false">F66/8</f>
        <v>200</v>
      </c>
      <c r="H66" s="20" t="n">
        <f aca="false">G66*I66</f>
        <v>300</v>
      </c>
      <c r="I66" s="21" t="n">
        <v>1.5</v>
      </c>
      <c r="J66" s="21" t="n">
        <v>254</v>
      </c>
      <c r="K66" s="20" t="n">
        <f aca="false">J66/H66*100</f>
        <v>84.6666666666667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54" t="s">
        <v>71</v>
      </c>
      <c r="E67" s="55" t="s">
        <v>72</v>
      </c>
      <c r="F67" s="19" t="n">
        <f aca="false">60/18*8*60</f>
        <v>1600</v>
      </c>
      <c r="G67" s="20" t="n">
        <f aca="false">F67/8</f>
        <v>200</v>
      </c>
      <c r="H67" s="20" t="n">
        <f aca="false">G67*I67</f>
        <v>600</v>
      </c>
      <c r="I67" s="21" t="n">
        <v>3</v>
      </c>
      <c r="J67" s="21" t="n">
        <v>508</v>
      </c>
      <c r="K67" s="20" t="n">
        <f aca="false">J67/H67*100</f>
        <v>84.6666666666667</v>
      </c>
      <c r="L67" s="20"/>
      <c r="M67" s="25"/>
      <c r="N67" s="20" t="n">
        <v>1</v>
      </c>
      <c r="O67" s="20" t="n">
        <v>0</v>
      </c>
      <c r="P67" s="58"/>
    </row>
    <row r="68" customFormat="false" ht="15" hidden="false" customHeight="false" outlineLevel="0" collapsed="false">
      <c r="B68" s="15"/>
      <c r="C68" s="37"/>
      <c r="D68" s="54"/>
      <c r="E68" s="36"/>
      <c r="F68" s="19"/>
      <c r="G68" s="20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900</v>
      </c>
      <c r="I70" s="75"/>
      <c r="J70" s="41" t="n">
        <f aca="false">SUM(J66:J69)</f>
        <v>762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18238</v>
      </c>
      <c r="I71" s="79" t="s">
        <v>25</v>
      </c>
      <c r="J71" s="78" t="n">
        <f aca="false">J9+J12+J15+J18+J30+J39+J47+J55+J58+J61+J65+J70+J21</f>
        <v>15865</v>
      </c>
      <c r="K71" s="80" t="n">
        <f aca="false">J71/H71</f>
        <v>0.869887049018533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L69" activeCellId="0" sqref="L69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122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123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7" t="s">
        <v>35</v>
      </c>
      <c r="F6" s="19" t="n">
        <f aca="false">60/60*8*60</f>
        <v>480</v>
      </c>
      <c r="G6" s="20" t="n">
        <f aca="false">F6/8</f>
        <v>60</v>
      </c>
      <c r="H6" s="20" t="n">
        <f aca="false">G6*I6</f>
        <v>240</v>
      </c>
      <c r="I6" s="21" t="n">
        <v>4</v>
      </c>
      <c r="J6" s="21" t="n">
        <v>200</v>
      </c>
      <c r="K6" s="20" t="n">
        <f aca="false">J6/H6*100</f>
        <v>83.3333333333333</v>
      </c>
      <c r="L6" s="22"/>
      <c r="M6" s="23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19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240</v>
      </c>
      <c r="I9" s="30"/>
      <c r="J9" s="29" t="n">
        <f aca="false">SUM(J6:J8)</f>
        <v>200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480</v>
      </c>
      <c r="I13" s="21" t="n">
        <v>4</v>
      </c>
      <c r="J13" s="21" t="n">
        <v>400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480</v>
      </c>
      <c r="I15" s="42"/>
      <c r="J15" s="41" t="n">
        <f aca="false">SUM(J13:J14)</f>
        <v>400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/>
      <c r="E19" s="18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35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28</v>
      </c>
      <c r="E22" s="55" t="s">
        <v>104</v>
      </c>
      <c r="F22" s="20" t="n">
        <f aca="false">60/8*8*60</f>
        <v>3600</v>
      </c>
      <c r="G22" s="20" t="n">
        <f aca="false">F22/8</f>
        <v>450</v>
      </c>
      <c r="H22" s="20" t="n">
        <f aca="false">G22*I22</f>
        <v>1575</v>
      </c>
      <c r="I22" s="21" t="n">
        <v>3.5</v>
      </c>
      <c r="J22" s="21" t="n">
        <v>1300</v>
      </c>
      <c r="K22" s="20" t="n">
        <f aca="false">J22/H22*100</f>
        <v>82.5396825396825</v>
      </c>
      <c r="L22" s="22"/>
      <c r="M22" s="83"/>
      <c r="N22" s="19" t="n">
        <v>1</v>
      </c>
      <c r="O22" s="19" t="n">
        <v>2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34</v>
      </c>
      <c r="E23" s="55" t="s">
        <v>124</v>
      </c>
      <c r="F23" s="19" t="n">
        <f aca="false">60/18*8*60</f>
        <v>1600</v>
      </c>
      <c r="G23" s="20" t="n">
        <f aca="false">F23/8</f>
        <v>200</v>
      </c>
      <c r="H23" s="20" t="n">
        <f aca="false">G23*I23</f>
        <v>300</v>
      </c>
      <c r="I23" s="21" t="n">
        <v>1.5</v>
      </c>
      <c r="J23" s="21" t="n">
        <v>270</v>
      </c>
      <c r="K23" s="20" t="n">
        <f aca="false">J23/H23*100</f>
        <v>90</v>
      </c>
      <c r="L23" s="22"/>
      <c r="M23" s="23"/>
      <c r="N23" s="19" t="n">
        <v>1</v>
      </c>
      <c r="O23" s="19" t="n">
        <v>1</v>
      </c>
      <c r="P23" s="56"/>
    </row>
    <row r="24" customFormat="false" ht="15" hidden="false" customHeight="false" outlineLevel="0" collapsed="false">
      <c r="B24" s="50"/>
      <c r="C24" s="53"/>
      <c r="D24" s="54" t="s">
        <v>102</v>
      </c>
      <c r="E24" s="55" t="s">
        <v>86</v>
      </c>
      <c r="F24" s="19" t="n">
        <f aca="false">60/25*8*60</f>
        <v>1152</v>
      </c>
      <c r="G24" s="20" t="n">
        <f aca="false">F24/8</f>
        <v>144</v>
      </c>
      <c r="H24" s="20" t="n">
        <f aca="false">G24*I24</f>
        <v>72</v>
      </c>
      <c r="I24" s="21" t="n">
        <v>0.5</v>
      </c>
      <c r="J24" s="21" t="n">
        <v>60</v>
      </c>
      <c r="K24" s="20" t="n">
        <f aca="false">J24/H24*100</f>
        <v>83.3333333333333</v>
      </c>
      <c r="L24" s="22"/>
      <c r="M24" s="23"/>
      <c r="N24" s="19" t="n">
        <v>1</v>
      </c>
      <c r="O24" s="19" t="n">
        <v>2</v>
      </c>
      <c r="P24" s="56"/>
    </row>
    <row r="25" customFormat="false" ht="22.5" hidden="false" customHeight="false" outlineLevel="0" collapsed="false">
      <c r="B25" s="50"/>
      <c r="C25" s="53"/>
      <c r="D25" s="54" t="s">
        <v>102</v>
      </c>
      <c r="E25" s="55" t="s">
        <v>125</v>
      </c>
      <c r="F25" s="19" t="n">
        <f aca="false">60/40*8*60</f>
        <v>720</v>
      </c>
      <c r="G25" s="20" t="n">
        <f aca="false">F25/8</f>
        <v>90</v>
      </c>
      <c r="H25" s="20" t="n">
        <f aca="false">G25*I25</f>
        <v>135</v>
      </c>
      <c r="I25" s="21" t="n">
        <v>1.5</v>
      </c>
      <c r="J25" s="21" t="n">
        <f aca="false">60+12+43</f>
        <v>115</v>
      </c>
      <c r="K25" s="20" t="n">
        <f aca="false">J25/H25*100</f>
        <v>85.1851851851852</v>
      </c>
      <c r="L25" s="22" t="n">
        <v>20</v>
      </c>
      <c r="M25" s="83" t="s">
        <v>101</v>
      </c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 t="s">
        <v>102</v>
      </c>
      <c r="E26" s="55" t="s">
        <v>46</v>
      </c>
      <c r="F26" s="19" t="n">
        <f aca="false">60/25*8*60</f>
        <v>1152</v>
      </c>
      <c r="G26" s="20" t="n">
        <f aca="false">F26/8</f>
        <v>144</v>
      </c>
      <c r="H26" s="20" t="n">
        <f aca="false">G26*I26</f>
        <v>72</v>
      </c>
      <c r="I26" s="21" t="n">
        <v>0.5</v>
      </c>
      <c r="J26" s="21" t="n">
        <v>64</v>
      </c>
      <c r="K26" s="20" t="n">
        <f aca="false">J26/H26*100</f>
        <v>88.8888888888889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 t="s">
        <v>113</v>
      </c>
      <c r="E27" s="55" t="s">
        <v>126</v>
      </c>
      <c r="F27" s="19" t="n">
        <f aca="false">60/30*8*60</f>
        <v>960</v>
      </c>
      <c r="G27" s="20" t="n">
        <f aca="false">F27/8</f>
        <v>120</v>
      </c>
      <c r="H27" s="20" t="n">
        <f aca="false">G27*I27</f>
        <v>360</v>
      </c>
      <c r="I27" s="21" t="n">
        <v>3</v>
      </c>
      <c r="J27" s="21" t="n">
        <f aca="false">160+123</f>
        <v>283</v>
      </c>
      <c r="K27" s="20" t="n">
        <f aca="false">J27/H27*100</f>
        <v>78.6111111111111</v>
      </c>
      <c r="L27" s="22"/>
      <c r="M27" s="23"/>
      <c r="N27" s="19" t="n">
        <v>1</v>
      </c>
      <c r="O27" s="19" t="n">
        <v>2</v>
      </c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2514</v>
      </c>
      <c r="I30" s="30"/>
      <c r="J30" s="29" t="n">
        <f aca="false">SUM(J22:J29)</f>
        <v>2092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52</v>
      </c>
      <c r="E31" s="55" t="s">
        <v>111</v>
      </c>
      <c r="F31" s="20" t="n">
        <f aca="false">60/12*8*60</f>
        <v>2400</v>
      </c>
      <c r="G31" s="20" t="n">
        <f aca="false">F31/8</f>
        <v>300</v>
      </c>
      <c r="H31" s="20" t="n">
        <f aca="false">G31*I31</f>
        <v>1800</v>
      </c>
      <c r="I31" s="21" t="n">
        <v>6</v>
      </c>
      <c r="J31" s="21" t="n">
        <v>1480</v>
      </c>
      <c r="K31" s="20" t="n">
        <f aca="false">J31/H31*100</f>
        <v>82.2222222222222</v>
      </c>
      <c r="L31" s="20"/>
      <c r="M31" s="25"/>
      <c r="N31" s="20" t="n">
        <v>1</v>
      </c>
      <c r="O31" s="20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43</v>
      </c>
      <c r="E32" s="55" t="s">
        <v>127</v>
      </c>
      <c r="F32" s="19" t="n">
        <f aca="false">60/22*8*60</f>
        <v>1309.09090909091</v>
      </c>
      <c r="G32" s="20" t="n">
        <f aca="false">F32/8</f>
        <v>163.636363636364</v>
      </c>
      <c r="H32" s="20" t="n">
        <f aca="false">G32*I32</f>
        <v>245.454545454546</v>
      </c>
      <c r="I32" s="21" t="n">
        <v>1.5</v>
      </c>
      <c r="J32" s="21" t="n">
        <v>200</v>
      </c>
      <c r="K32" s="20" t="n">
        <f aca="false">J32/H32*100</f>
        <v>81.4814814814814</v>
      </c>
      <c r="L32" s="20"/>
      <c r="M32" s="25"/>
      <c r="N32" s="19" t="n">
        <v>1</v>
      </c>
      <c r="O32" s="19" t="n">
        <v>1</v>
      </c>
      <c r="P32" s="58"/>
    </row>
    <row r="33" customFormat="false" ht="15" hidden="false" customHeight="false" outlineLevel="0" collapsed="false">
      <c r="B33" s="15"/>
      <c r="C33" s="16"/>
      <c r="D33" s="54" t="s">
        <v>102</v>
      </c>
      <c r="E33" s="55" t="s">
        <v>128</v>
      </c>
      <c r="F33" s="19" t="n">
        <f aca="false">60/25*8*60</f>
        <v>1152</v>
      </c>
      <c r="G33" s="20" t="n">
        <f aca="false">F33/8</f>
        <v>144</v>
      </c>
      <c r="H33" s="20" t="n">
        <f aca="false">G33*I33</f>
        <v>72</v>
      </c>
      <c r="I33" s="21" t="n">
        <v>0.5</v>
      </c>
      <c r="J33" s="21" t="n">
        <v>60</v>
      </c>
      <c r="K33" s="20" t="n">
        <f aca="false">J33/H33*100</f>
        <v>83.3333333333333</v>
      </c>
      <c r="L33" s="20"/>
      <c r="M33" s="84"/>
      <c r="N33" s="20" t="n">
        <v>1</v>
      </c>
      <c r="O33" s="20" t="n">
        <v>3</v>
      </c>
      <c r="P33" s="58"/>
    </row>
    <row r="34" customFormat="false" ht="15" hidden="false" customHeight="false" outlineLevel="0" collapsed="false">
      <c r="B34" s="15"/>
      <c r="C34" s="16"/>
      <c r="D34" s="54" t="s">
        <v>87</v>
      </c>
      <c r="E34" s="55" t="s">
        <v>22</v>
      </c>
      <c r="F34" s="19" t="n">
        <f aca="false">60/25*8*60</f>
        <v>1152</v>
      </c>
      <c r="G34" s="20" t="n">
        <f aca="false">F34/8</f>
        <v>144</v>
      </c>
      <c r="H34" s="20" t="n">
        <f aca="false">G34*I34</f>
        <v>216</v>
      </c>
      <c r="I34" s="21" t="n">
        <v>1.5</v>
      </c>
      <c r="J34" s="21" t="n">
        <v>150</v>
      </c>
      <c r="K34" s="20" t="n">
        <f aca="false">J34/H34*100</f>
        <v>69.4444444444444</v>
      </c>
      <c r="L34" s="20"/>
      <c r="M34" s="25"/>
      <c r="N34" s="20" t="n">
        <v>1</v>
      </c>
      <c r="O34" s="20" t="n">
        <v>1</v>
      </c>
      <c r="P34" s="58"/>
    </row>
    <row r="35" customFormat="false" ht="15" hidden="false" customHeight="false" outlineLevel="0" collapsed="false">
      <c r="B35" s="15"/>
      <c r="C35" s="16"/>
      <c r="D35" s="54"/>
      <c r="E35" s="55"/>
      <c r="F35" s="20"/>
      <c r="G35" s="20"/>
      <c r="H35" s="20"/>
      <c r="I35" s="21"/>
      <c r="J35" s="21"/>
      <c r="K35" s="20"/>
      <c r="L35" s="22"/>
      <c r="M35" s="23"/>
      <c r="N35" s="19"/>
      <c r="O35" s="19"/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19"/>
      <c r="G36" s="20"/>
      <c r="H36" s="20"/>
      <c r="I36" s="21"/>
      <c r="J36" s="21"/>
      <c r="K36" s="20"/>
      <c r="L36" s="22"/>
      <c r="M36" s="2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20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2333.45454545455</v>
      </c>
      <c r="I39" s="42"/>
      <c r="J39" s="49" t="n">
        <f aca="false">SUM(J31:J38)</f>
        <v>1890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43</v>
      </c>
      <c r="E40" s="55" t="s">
        <v>111</v>
      </c>
      <c r="F40" s="19" t="n">
        <f aca="false">60/10*8*60</f>
        <v>2880</v>
      </c>
      <c r="G40" s="20" t="n">
        <f aca="false">F40/8</f>
        <v>360</v>
      </c>
      <c r="H40" s="20" t="n">
        <f aca="false">G40*I40</f>
        <v>1980</v>
      </c>
      <c r="I40" s="21" t="n">
        <v>5.5</v>
      </c>
      <c r="J40" s="21" t="n">
        <v>1720</v>
      </c>
      <c r="K40" s="20" t="n">
        <f aca="false">J40/H40*100</f>
        <v>86.8686868686869</v>
      </c>
      <c r="L40" s="20"/>
      <c r="M40" s="25"/>
      <c r="N40" s="19" t="n">
        <v>1</v>
      </c>
      <c r="O40" s="19" t="n">
        <v>1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21</v>
      </c>
      <c r="E41" s="55" t="s">
        <v>129</v>
      </c>
      <c r="F41" s="19" t="n">
        <f aca="false">60/25*8*60</f>
        <v>1152</v>
      </c>
      <c r="G41" s="20" t="n">
        <f aca="false">F41/8</f>
        <v>144</v>
      </c>
      <c r="H41" s="20" t="n">
        <f aca="false">G41*I41</f>
        <v>144</v>
      </c>
      <c r="I41" s="21" t="n">
        <v>1</v>
      </c>
      <c r="J41" s="21" t="n">
        <v>113</v>
      </c>
      <c r="K41" s="20" t="n">
        <f aca="false">J41/H41*100</f>
        <v>78.4722222222222</v>
      </c>
      <c r="L41" s="22"/>
      <c r="M41" s="23"/>
      <c r="N41" s="19" t="n">
        <v>1</v>
      </c>
      <c r="O41" s="19" t="n">
        <v>1</v>
      </c>
      <c r="P41" s="61"/>
    </row>
    <row r="42" customFormat="false" ht="15" hidden="false" customHeight="false" outlineLevel="0" collapsed="false">
      <c r="B42" s="45"/>
      <c r="C42" s="60"/>
      <c r="D42" s="54" t="s">
        <v>21</v>
      </c>
      <c r="E42" s="55" t="s">
        <v>55</v>
      </c>
      <c r="F42" s="19" t="n">
        <f aca="false">60/12*8*60</f>
        <v>2400</v>
      </c>
      <c r="G42" s="20" t="n">
        <f aca="false">F42/8</f>
        <v>300</v>
      </c>
      <c r="H42" s="20" t="n">
        <f aca="false">G42*I42</f>
        <v>1650</v>
      </c>
      <c r="I42" s="21" t="n">
        <v>5.5</v>
      </c>
      <c r="J42" s="21" t="n">
        <v>1500</v>
      </c>
      <c r="K42" s="20" t="n">
        <f aca="false">J42/H42*100</f>
        <v>90.9090909090909</v>
      </c>
      <c r="L42" s="22"/>
      <c r="M42" s="23"/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/>
      <c r="E43" s="55"/>
      <c r="F43" s="19"/>
      <c r="G43" s="20"/>
      <c r="H43" s="20"/>
      <c r="I43" s="21"/>
      <c r="J43" s="21"/>
      <c r="K43" s="20"/>
      <c r="L43" s="20"/>
      <c r="M43" s="25"/>
      <c r="N43" s="20"/>
      <c r="O43" s="20"/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20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20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3774</v>
      </c>
      <c r="I47" s="63"/>
      <c r="J47" s="41" t="n">
        <f aca="false">SUM(J40:J46)</f>
        <v>3333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34</v>
      </c>
      <c r="E48" s="55" t="s">
        <v>111</v>
      </c>
      <c r="F48" s="19" t="n">
        <f aca="false">60/12*8*60</f>
        <v>2400</v>
      </c>
      <c r="G48" s="20" t="n">
        <f aca="false">F48/8</f>
        <v>300</v>
      </c>
      <c r="H48" s="20" t="n">
        <f aca="false">G48*I48</f>
        <v>750</v>
      </c>
      <c r="I48" s="21" t="n">
        <v>2.5</v>
      </c>
      <c r="J48" s="21" t="n">
        <v>652</v>
      </c>
      <c r="K48" s="20" t="n">
        <f aca="false">J48/H48*100</f>
        <v>86.9333333333333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21</v>
      </c>
      <c r="E49" s="55" t="s">
        <v>130</v>
      </c>
      <c r="F49" s="19" t="n">
        <f aca="false">60/20*8*60</f>
        <v>1440</v>
      </c>
      <c r="G49" s="20" t="n">
        <f aca="false">F49/8</f>
        <v>180</v>
      </c>
      <c r="H49" s="20" t="n">
        <f aca="false">G49*I49</f>
        <v>270</v>
      </c>
      <c r="I49" s="21" t="n">
        <v>1.5</v>
      </c>
      <c r="J49" s="21" t="n">
        <v>200</v>
      </c>
      <c r="K49" s="20" t="n">
        <f aca="false">J49/H49*100</f>
        <v>74.0740740740741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21</v>
      </c>
      <c r="E50" s="55" t="s">
        <v>131</v>
      </c>
      <c r="F50" s="19" t="n">
        <f aca="false">60/14*8*60</f>
        <v>2057.14285714286</v>
      </c>
      <c r="G50" s="20" t="n">
        <f aca="false">F50/8</f>
        <v>257.142857142858</v>
      </c>
      <c r="H50" s="20" t="n">
        <f aca="false">G50*I50</f>
        <v>642.857142857144</v>
      </c>
      <c r="I50" s="21" t="n">
        <v>2.5</v>
      </c>
      <c r="J50" s="21" t="n">
        <v>574</v>
      </c>
      <c r="K50" s="20" t="n">
        <f aca="false">J50/H50*100</f>
        <v>89.2888888888888</v>
      </c>
      <c r="L50" s="22"/>
      <c r="M50" s="23"/>
      <c r="N50" s="19" t="n">
        <v>1</v>
      </c>
      <c r="O50" s="19" t="n">
        <v>3</v>
      </c>
      <c r="P50" s="61"/>
    </row>
    <row r="51" customFormat="false" ht="15" hidden="false" customHeight="false" outlineLevel="0" collapsed="false">
      <c r="B51" s="45"/>
      <c r="C51" s="64"/>
      <c r="D51" s="54" t="s">
        <v>28</v>
      </c>
      <c r="E51" s="55" t="s">
        <v>55</v>
      </c>
      <c r="F51" s="19" t="n">
        <f aca="false">60/8*8*60</f>
        <v>3600</v>
      </c>
      <c r="G51" s="20" t="n">
        <f aca="false">F51/8</f>
        <v>450</v>
      </c>
      <c r="H51" s="20" t="n">
        <f aca="false">G51*I51</f>
        <v>2250</v>
      </c>
      <c r="I51" s="21" t="n">
        <v>5</v>
      </c>
      <c r="J51" s="21" t="n">
        <v>1974</v>
      </c>
      <c r="K51" s="20" t="n">
        <f aca="false">J51/H51*100</f>
        <v>87.7333333333333</v>
      </c>
      <c r="L51" s="22"/>
      <c r="M51" s="83"/>
      <c r="N51" s="19" t="n">
        <v>1</v>
      </c>
      <c r="O51" s="19" t="n">
        <v>1</v>
      </c>
      <c r="P51" s="61"/>
    </row>
    <row r="52" customFormat="false" ht="15" hidden="false" customHeight="false" outlineLevel="0" collapsed="false">
      <c r="B52" s="45"/>
      <c r="C52" s="64"/>
      <c r="D52" s="54"/>
      <c r="E52" s="55"/>
      <c r="F52" s="19"/>
      <c r="G52" s="20"/>
      <c r="H52" s="20"/>
      <c r="I52" s="21"/>
      <c r="J52" s="21"/>
      <c r="K52" s="20"/>
      <c r="L52" s="20"/>
      <c r="M52" s="25"/>
      <c r="N52" s="19"/>
      <c r="O52" s="19"/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35"/>
      <c r="E54" s="55"/>
      <c r="F54" s="19"/>
      <c r="G54" s="20"/>
      <c r="H54" s="20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3912.85714285714</v>
      </c>
      <c r="I55" s="42"/>
      <c r="J55" s="41" t="n">
        <f aca="false">SUM(J48:J54)</f>
        <v>3400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8" t="s">
        <v>64</v>
      </c>
      <c r="E58" s="8"/>
      <c r="F58" s="8"/>
      <c r="G58" s="8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70" t="s">
        <v>117</v>
      </c>
      <c r="E59" s="18" t="s">
        <v>126</v>
      </c>
      <c r="F59" s="19" t="n">
        <f aca="false">60/20*8*60</f>
        <v>1440</v>
      </c>
      <c r="G59" s="20" t="n">
        <f aca="false">F59/8</f>
        <v>180</v>
      </c>
      <c r="H59" s="20" t="n">
        <f aca="false">G59*I59</f>
        <v>360</v>
      </c>
      <c r="I59" s="21" t="n">
        <v>2</v>
      </c>
      <c r="J59" s="21" t="n">
        <f aca="false">160+123</f>
        <v>283</v>
      </c>
      <c r="K59" s="20" t="n">
        <f aca="false">J59/H59*100</f>
        <v>78.6111111111111</v>
      </c>
      <c r="L59" s="26"/>
      <c r="M59" s="28"/>
      <c r="N59" s="26"/>
      <c r="O59" s="26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283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111</v>
      </c>
      <c r="F62" s="19" t="n">
        <f aca="false">60/12*8*60</f>
        <v>2400</v>
      </c>
      <c r="G62" s="19" t="n">
        <f aca="false">F62/8</f>
        <v>300</v>
      </c>
      <c r="H62" s="19" t="n">
        <f aca="false">G62*I62</f>
        <v>2100</v>
      </c>
      <c r="I62" s="72" t="n">
        <v>7</v>
      </c>
      <c r="J62" s="72" t="n">
        <v>2000</v>
      </c>
      <c r="K62" s="19" t="n">
        <f aca="false">J62/H62*100</f>
        <v>95.2380952380952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127</v>
      </c>
      <c r="F63" s="19" t="n">
        <f aca="false">60/20*8*60</f>
        <v>1440</v>
      </c>
      <c r="G63" s="19" t="n">
        <f aca="false">F63/8</f>
        <v>180</v>
      </c>
      <c r="H63" s="19" t="n">
        <f aca="false">G63*I63</f>
        <v>450</v>
      </c>
      <c r="I63" s="72" t="n">
        <v>2.5</v>
      </c>
      <c r="J63" s="72" t="n">
        <v>400</v>
      </c>
      <c r="K63" s="19" t="n">
        <f aca="false">J63/H63*100</f>
        <v>88.8888888888889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8" t="s">
        <v>23</v>
      </c>
      <c r="E65" s="8"/>
      <c r="F65" s="8"/>
      <c r="G65" s="8"/>
      <c r="H65" s="57" t="n">
        <f aca="false">SUM(H62:H64)</f>
        <v>2550</v>
      </c>
      <c r="I65" s="30"/>
      <c r="J65" s="29" t="n">
        <f aca="false">SUM(J62:J64)</f>
        <v>2400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54" t="s">
        <v>28</v>
      </c>
      <c r="E66" s="55" t="s">
        <v>132</v>
      </c>
      <c r="F66" s="19" t="n">
        <f aca="false">60/12*8*60</f>
        <v>2400</v>
      </c>
      <c r="G66" s="20" t="n">
        <f aca="false">F66/8</f>
        <v>300</v>
      </c>
      <c r="H66" s="20" t="n">
        <f aca="false">G66*I66</f>
        <v>1500</v>
      </c>
      <c r="I66" s="21" t="n">
        <v>5</v>
      </c>
      <c r="J66" s="21" t="n">
        <v>1200</v>
      </c>
      <c r="K66" s="20" t="n">
        <f aca="false">J66/H66*100</f>
        <v>80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54" t="s">
        <v>21</v>
      </c>
      <c r="E67" s="55" t="s">
        <v>132</v>
      </c>
      <c r="F67" s="19" t="n">
        <f aca="false">60/18*8*60</f>
        <v>1600</v>
      </c>
      <c r="G67" s="20" t="n">
        <f aca="false">F67/8</f>
        <v>200</v>
      </c>
      <c r="H67" s="20" t="n">
        <f aca="false">G67*I67</f>
        <v>600</v>
      </c>
      <c r="I67" s="21" t="n">
        <v>3</v>
      </c>
      <c r="J67" s="21" t="n">
        <v>500</v>
      </c>
      <c r="K67" s="20" t="n">
        <f aca="false">J67/H67*100</f>
        <v>83.3333333333333</v>
      </c>
      <c r="L67" s="20"/>
      <c r="M67" s="25"/>
      <c r="N67" s="20" t="n">
        <v>1</v>
      </c>
      <c r="O67" s="20" t="n">
        <v>0</v>
      </c>
      <c r="P67" s="58"/>
    </row>
    <row r="68" customFormat="false" ht="15" hidden="false" customHeight="false" outlineLevel="0" collapsed="false">
      <c r="B68" s="15"/>
      <c r="C68" s="37"/>
      <c r="D68" s="54" t="s">
        <v>34</v>
      </c>
      <c r="E68" s="36" t="s">
        <v>133</v>
      </c>
      <c r="F68" s="19" t="n">
        <f aca="false">60/18*8*60</f>
        <v>1600</v>
      </c>
      <c r="G68" s="20" t="n">
        <f aca="false">F68/8</f>
        <v>200</v>
      </c>
      <c r="H68" s="20" t="n">
        <f aca="false">G68*I68</f>
        <v>200</v>
      </c>
      <c r="I68" s="21" t="n">
        <v>1</v>
      </c>
      <c r="J68" s="21" t="n">
        <v>175</v>
      </c>
      <c r="K68" s="20" t="n">
        <f aca="false">J68/H68*100</f>
        <v>87.5</v>
      </c>
      <c r="L68" s="20"/>
      <c r="M68" s="25"/>
      <c r="N68" s="20" t="n">
        <v>1</v>
      </c>
      <c r="O68" s="20" t="n">
        <v>0</v>
      </c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2300</v>
      </c>
      <c r="I70" s="75"/>
      <c r="J70" s="41" t="n">
        <f aca="false">SUM(J66:J69)</f>
        <v>1875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19364.3116883117</v>
      </c>
      <c r="I71" s="79" t="s">
        <v>25</v>
      </c>
      <c r="J71" s="78" t="n">
        <f aca="false">J9+J12+J15+J18+J30+J39+J47+J55+J58+J61+J65+J70+J21</f>
        <v>16873</v>
      </c>
      <c r="K71" s="80" t="n">
        <f aca="false">J71/H71</f>
        <v>0.871345197887129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E27" activeCellId="0" sqref="E27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134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135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/>
      <c r="E6" s="17"/>
      <c r="F6" s="19"/>
      <c r="G6" s="20"/>
      <c r="H6" s="20"/>
      <c r="I6" s="21"/>
      <c r="J6" s="21"/>
      <c r="K6" s="20"/>
      <c r="L6" s="22"/>
      <c r="M6" s="23"/>
      <c r="N6" s="19"/>
      <c r="O6" s="19"/>
      <c r="P6" s="24"/>
    </row>
    <row r="7" customFormat="false" ht="15.75" hidden="false" customHeight="false" outlineLevel="0" collapsed="false">
      <c r="B7" s="15"/>
      <c r="C7" s="16"/>
      <c r="D7" s="17"/>
      <c r="E7" s="18"/>
      <c r="F7" s="19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0</v>
      </c>
      <c r="I9" s="30"/>
      <c r="J9" s="29" t="n">
        <f aca="false">SUM(J6:J8)</f>
        <v>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360</v>
      </c>
      <c r="I13" s="21" t="n">
        <v>3</v>
      </c>
      <c r="J13" s="21" t="n">
        <v>300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360</v>
      </c>
      <c r="I15" s="42"/>
      <c r="J15" s="41" t="n">
        <f aca="false">SUM(J13:J14)</f>
        <v>300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/>
      <c r="E19" s="18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35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136</v>
      </c>
      <c r="E22" s="55" t="s">
        <v>126</v>
      </c>
      <c r="F22" s="19" t="n">
        <f aca="false">60/30*8*60</f>
        <v>960</v>
      </c>
      <c r="G22" s="20" t="n">
        <f aca="false">F22/8</f>
        <v>120</v>
      </c>
      <c r="H22" s="20" t="n">
        <f aca="false">G22*I22</f>
        <v>360</v>
      </c>
      <c r="I22" s="21" t="n">
        <v>3</v>
      </c>
      <c r="J22" s="21" t="n">
        <f aca="false">160+123</f>
        <v>283</v>
      </c>
      <c r="K22" s="20" t="n">
        <f aca="false">J22/H22*100</f>
        <v>78.6111111111111</v>
      </c>
      <c r="L22" s="22"/>
      <c r="M22" s="83"/>
      <c r="N22" s="19" t="n">
        <v>1</v>
      </c>
      <c r="O22" s="19" t="n">
        <v>2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90</v>
      </c>
      <c r="E23" s="55" t="s">
        <v>137</v>
      </c>
      <c r="F23" s="19" t="n">
        <f aca="false">60/25*8*60</f>
        <v>1152</v>
      </c>
      <c r="G23" s="20" t="n">
        <f aca="false">F23/8</f>
        <v>144</v>
      </c>
      <c r="H23" s="20" t="n">
        <f aca="false">G23*I23</f>
        <v>144</v>
      </c>
      <c r="I23" s="21" t="n">
        <v>1</v>
      </c>
      <c r="J23" s="21" t="n">
        <v>123</v>
      </c>
      <c r="K23" s="20" t="n">
        <f aca="false">J23/H23*100</f>
        <v>85.4166666666667</v>
      </c>
      <c r="L23" s="22"/>
      <c r="M23" s="23"/>
      <c r="N23" s="19" t="n">
        <v>1</v>
      </c>
      <c r="O23" s="19" t="n">
        <v>1</v>
      </c>
      <c r="P23" s="56"/>
    </row>
    <row r="24" customFormat="false" ht="15" hidden="false" customHeight="false" outlineLevel="0" collapsed="false">
      <c r="B24" s="50"/>
      <c r="C24" s="53"/>
      <c r="D24" s="54" t="s">
        <v>100</v>
      </c>
      <c r="E24" s="55" t="s">
        <v>35</v>
      </c>
      <c r="F24" s="19" t="n">
        <f aca="false">60/20*8*60</f>
        <v>1440</v>
      </c>
      <c r="G24" s="20" t="n">
        <f aca="false">F24/8</f>
        <v>180</v>
      </c>
      <c r="H24" s="20" t="n">
        <f aca="false">G24*I24</f>
        <v>360</v>
      </c>
      <c r="I24" s="21" t="n">
        <v>2</v>
      </c>
      <c r="J24" s="21" t="n">
        <v>300</v>
      </c>
      <c r="K24" s="20" t="n">
        <f aca="false">J24/H24*100</f>
        <v>83.3333333333333</v>
      </c>
      <c r="L24" s="22"/>
      <c r="M24" s="23"/>
      <c r="N24" s="19" t="n">
        <v>1</v>
      </c>
      <c r="O24" s="19" t="n">
        <v>2</v>
      </c>
      <c r="P24" s="56"/>
    </row>
    <row r="25" customFormat="false" ht="22.5" hidden="false" customHeight="false" outlineLevel="0" collapsed="false">
      <c r="B25" s="50"/>
      <c r="C25" s="53"/>
      <c r="D25" s="54" t="s">
        <v>34</v>
      </c>
      <c r="E25" s="55" t="s">
        <v>138</v>
      </c>
      <c r="F25" s="19" t="n">
        <f aca="false">60/20*8*60</f>
        <v>1440</v>
      </c>
      <c r="G25" s="20" t="n">
        <f aca="false">F25/8</f>
        <v>180</v>
      </c>
      <c r="H25" s="20" t="n">
        <f aca="false">G25*I25</f>
        <v>180</v>
      </c>
      <c r="I25" s="21" t="n">
        <v>1</v>
      </c>
      <c r="J25" s="21" t="n">
        <v>132</v>
      </c>
      <c r="K25" s="20" t="n">
        <f aca="false">J25/H25*100</f>
        <v>73.3333333333333</v>
      </c>
      <c r="L25" s="22" t="n">
        <v>15</v>
      </c>
      <c r="M25" s="83" t="s">
        <v>101</v>
      </c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 t="s">
        <v>21</v>
      </c>
      <c r="E26" s="55" t="s">
        <v>84</v>
      </c>
      <c r="F26" s="19" t="n">
        <f aca="false">60/18*8*60</f>
        <v>1600</v>
      </c>
      <c r="G26" s="20" t="n">
        <f aca="false">F26/8</f>
        <v>200</v>
      </c>
      <c r="H26" s="20" t="n">
        <f aca="false">G26*I26</f>
        <v>300</v>
      </c>
      <c r="I26" s="21" t="n">
        <v>1.5</v>
      </c>
      <c r="J26" s="21" t="n">
        <v>280</v>
      </c>
      <c r="K26" s="20" t="n">
        <f aca="false">J26/H26*100</f>
        <v>93.3333333333333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1344</v>
      </c>
      <c r="I30" s="30"/>
      <c r="J30" s="29" t="n">
        <f aca="false">SUM(J22:J29)</f>
        <v>1118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139</v>
      </c>
      <c r="E31" s="55" t="s">
        <v>35</v>
      </c>
      <c r="F31" s="20" t="n">
        <f aca="false">60/20*8*60</f>
        <v>1440</v>
      </c>
      <c r="G31" s="20" t="n">
        <f aca="false">F31/8</f>
        <v>180</v>
      </c>
      <c r="H31" s="20" t="n">
        <f aca="false">G31*I31</f>
        <v>360</v>
      </c>
      <c r="I31" s="21" t="n">
        <v>2</v>
      </c>
      <c r="J31" s="21" t="n">
        <v>300</v>
      </c>
      <c r="K31" s="20" t="n">
        <f aca="false">J31/H31*100</f>
        <v>83.3333333333333</v>
      </c>
      <c r="L31" s="20"/>
      <c r="M31" s="25"/>
      <c r="N31" s="20" t="n">
        <v>1</v>
      </c>
      <c r="O31" s="20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90</v>
      </c>
      <c r="E32" s="55" t="s">
        <v>86</v>
      </c>
      <c r="F32" s="19" t="n">
        <f aca="false">60/30*8*60</f>
        <v>960</v>
      </c>
      <c r="G32" s="20" t="n">
        <f aca="false">F32/8</f>
        <v>120</v>
      </c>
      <c r="H32" s="20" t="n">
        <f aca="false">G32*I32</f>
        <v>180</v>
      </c>
      <c r="I32" s="21" t="n">
        <v>1.5</v>
      </c>
      <c r="J32" s="21" t="n">
        <v>160</v>
      </c>
      <c r="K32" s="20" t="n">
        <f aca="false">J32/H32*100</f>
        <v>88.8888888888889</v>
      </c>
      <c r="L32" s="20"/>
      <c r="M32" s="25"/>
      <c r="N32" s="19" t="n">
        <v>1</v>
      </c>
      <c r="O32" s="19" t="n">
        <v>1</v>
      </c>
      <c r="P32" s="58"/>
    </row>
    <row r="33" customFormat="false" ht="15" hidden="false" customHeight="false" outlineLevel="0" collapsed="false">
      <c r="B33" s="15"/>
      <c r="C33" s="16"/>
      <c r="D33" s="54" t="s">
        <v>37</v>
      </c>
      <c r="E33" s="55" t="s">
        <v>127</v>
      </c>
      <c r="F33" s="20" t="n">
        <f aca="false">60/20*8*60</f>
        <v>1440</v>
      </c>
      <c r="G33" s="20" t="n">
        <f aca="false">F33/8</f>
        <v>180</v>
      </c>
      <c r="H33" s="20" t="n">
        <f aca="false">G33*I33</f>
        <v>270</v>
      </c>
      <c r="I33" s="21" t="n">
        <v>1.5</v>
      </c>
      <c r="J33" s="21" t="n">
        <v>210</v>
      </c>
      <c r="K33" s="20" t="n">
        <f aca="false">J33/H33*100</f>
        <v>77.7777777777778</v>
      </c>
      <c r="L33" s="20"/>
      <c r="M33" s="84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140</v>
      </c>
      <c r="E34" s="55" t="s">
        <v>127</v>
      </c>
      <c r="F34" s="20" t="n">
        <f aca="false">60/20*8*60</f>
        <v>1440</v>
      </c>
      <c r="G34" s="20" t="n">
        <f aca="false">F34/8</f>
        <v>180</v>
      </c>
      <c r="H34" s="20" t="n">
        <f aca="false">G34*I34</f>
        <v>270</v>
      </c>
      <c r="I34" s="21" t="n">
        <v>1.5</v>
      </c>
      <c r="J34" s="21" t="n">
        <v>210</v>
      </c>
      <c r="K34" s="20" t="n">
        <f aca="false">J34/H34*100</f>
        <v>77.7777777777778</v>
      </c>
      <c r="L34" s="20"/>
      <c r="M34" s="25"/>
      <c r="N34" s="20" t="n">
        <v>1</v>
      </c>
      <c r="O34" s="20" t="n">
        <v>1</v>
      </c>
      <c r="P34" s="58"/>
    </row>
    <row r="35" customFormat="false" ht="15" hidden="false" customHeight="false" outlineLevel="0" collapsed="false">
      <c r="B35" s="15"/>
      <c r="C35" s="16"/>
      <c r="D35" s="54" t="s">
        <v>34</v>
      </c>
      <c r="E35" s="55" t="s">
        <v>50</v>
      </c>
      <c r="F35" s="19" t="n">
        <f aca="false">60/12*8*60</f>
        <v>2400</v>
      </c>
      <c r="G35" s="20" t="n">
        <f aca="false">F35/8</f>
        <v>300</v>
      </c>
      <c r="H35" s="20" t="n">
        <f aca="false">G35*I35</f>
        <v>1350</v>
      </c>
      <c r="I35" s="21" t="n">
        <v>4.5</v>
      </c>
      <c r="J35" s="21" t="n">
        <v>1200</v>
      </c>
      <c r="K35" s="20" t="n">
        <f aca="false">J35/H35*100</f>
        <v>88.8888888888889</v>
      </c>
      <c r="L35" s="22"/>
      <c r="M35" s="23"/>
      <c r="N35" s="19" t="n">
        <v>1</v>
      </c>
      <c r="O35" s="19" t="n">
        <v>0</v>
      </c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19"/>
      <c r="G36" s="20"/>
      <c r="H36" s="20"/>
      <c r="I36" s="21"/>
      <c r="J36" s="21"/>
      <c r="K36" s="20"/>
      <c r="L36" s="22"/>
      <c r="M36" s="2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20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2430</v>
      </c>
      <c r="I39" s="42"/>
      <c r="J39" s="49" t="n">
        <f aca="false">SUM(J31:J38)</f>
        <v>2080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21</v>
      </c>
      <c r="E40" s="55" t="s">
        <v>55</v>
      </c>
      <c r="F40" s="19" t="n">
        <f aca="false">60/12*8*60</f>
        <v>2400</v>
      </c>
      <c r="G40" s="20" t="n">
        <f aca="false">F40/8</f>
        <v>300</v>
      </c>
      <c r="H40" s="20" t="n">
        <f aca="false">G40*I40</f>
        <v>600</v>
      </c>
      <c r="I40" s="21" t="n">
        <v>2</v>
      </c>
      <c r="J40" s="21" t="n">
        <v>474</v>
      </c>
      <c r="K40" s="20" t="n">
        <f aca="false">J40/H40*100</f>
        <v>79</v>
      </c>
      <c r="L40" s="20"/>
      <c r="M40" s="25"/>
      <c r="N40" s="19" t="n">
        <v>1</v>
      </c>
      <c r="O40" s="19" t="n">
        <v>1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52</v>
      </c>
      <c r="E41" s="55" t="s">
        <v>127</v>
      </c>
      <c r="F41" s="20" t="n">
        <f aca="false">60/20*8*60</f>
        <v>1440</v>
      </c>
      <c r="G41" s="20" t="n">
        <f aca="false">F41/8</f>
        <v>180</v>
      </c>
      <c r="H41" s="20" t="n">
        <f aca="false">G41*I41</f>
        <v>270</v>
      </c>
      <c r="I41" s="21" t="n">
        <v>1.5</v>
      </c>
      <c r="J41" s="21" t="n">
        <v>210</v>
      </c>
      <c r="K41" s="20" t="n">
        <f aca="false">J41/H41*100</f>
        <v>77.7777777777778</v>
      </c>
      <c r="L41" s="22"/>
      <c r="M41" s="23"/>
      <c r="N41" s="19" t="n">
        <v>1</v>
      </c>
      <c r="O41" s="19" t="n">
        <v>1</v>
      </c>
      <c r="P41" s="61"/>
    </row>
    <row r="42" customFormat="false" ht="15" hidden="false" customHeight="false" outlineLevel="0" collapsed="false">
      <c r="B42" s="45"/>
      <c r="C42" s="60"/>
      <c r="D42" s="54" t="s">
        <v>52</v>
      </c>
      <c r="E42" s="55" t="s">
        <v>50</v>
      </c>
      <c r="F42" s="19" t="n">
        <f aca="false">60/12*8*60</f>
        <v>2400</v>
      </c>
      <c r="G42" s="20" t="n">
        <f aca="false">F42/8</f>
        <v>300</v>
      </c>
      <c r="H42" s="20" t="n">
        <f aca="false">G42*I42</f>
        <v>2250</v>
      </c>
      <c r="I42" s="21" t="n">
        <v>7.5</v>
      </c>
      <c r="J42" s="21" t="n">
        <v>2000</v>
      </c>
      <c r="K42" s="20" t="n">
        <f aca="false">J42/H42*100</f>
        <v>88.8888888888889</v>
      </c>
      <c r="L42" s="22"/>
      <c r="M42" s="23"/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/>
      <c r="E43" s="55"/>
      <c r="F43" s="19"/>
      <c r="G43" s="20"/>
      <c r="H43" s="20"/>
      <c r="I43" s="21"/>
      <c r="J43" s="21"/>
      <c r="K43" s="20"/>
      <c r="L43" s="20"/>
      <c r="M43" s="25"/>
      <c r="N43" s="20"/>
      <c r="O43" s="20"/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20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20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3120</v>
      </c>
      <c r="I47" s="63"/>
      <c r="J47" s="41" t="n">
        <f aca="false">SUM(J40:J46)</f>
        <v>2684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109</v>
      </c>
      <c r="E48" s="55" t="s">
        <v>126</v>
      </c>
      <c r="F48" s="19" t="n">
        <f aca="false">60/30*8*60</f>
        <v>960</v>
      </c>
      <c r="G48" s="20" t="n">
        <f aca="false">F48/8</f>
        <v>120</v>
      </c>
      <c r="H48" s="20" t="n">
        <f aca="false">G48*I48</f>
        <v>360</v>
      </c>
      <c r="I48" s="21" t="n">
        <v>3</v>
      </c>
      <c r="J48" s="21" t="n">
        <f aca="false">160+123</f>
        <v>283</v>
      </c>
      <c r="K48" s="20" t="n">
        <f aca="false">J48/H48*100</f>
        <v>78.6111111111111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85</v>
      </c>
      <c r="E49" s="55" t="s">
        <v>126</v>
      </c>
      <c r="F49" s="19" t="n">
        <f aca="false">60/30*8*60</f>
        <v>960</v>
      </c>
      <c r="G49" s="20" t="n">
        <f aca="false">F49/8</f>
        <v>120</v>
      </c>
      <c r="H49" s="20" t="n">
        <f aca="false">G49*I49</f>
        <v>360</v>
      </c>
      <c r="I49" s="21" t="n">
        <v>3</v>
      </c>
      <c r="J49" s="21" t="n">
        <v>283</v>
      </c>
      <c r="K49" s="20" t="n">
        <f aca="false">J49/H49*100</f>
        <v>78.6111111111111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45</v>
      </c>
      <c r="E50" s="55" t="s">
        <v>141</v>
      </c>
      <c r="F50" s="19" t="n">
        <f aca="false">60/40*8*60</f>
        <v>720</v>
      </c>
      <c r="G50" s="20" t="n">
        <f aca="false">F50/8</f>
        <v>90</v>
      </c>
      <c r="H50" s="20" t="n">
        <f aca="false">G50*I50</f>
        <v>135</v>
      </c>
      <c r="I50" s="21" t="n">
        <v>1.5</v>
      </c>
      <c r="J50" s="21" t="n">
        <f aca="false">30+30+60</f>
        <v>120</v>
      </c>
      <c r="K50" s="20" t="n">
        <f aca="false">J50/H50*100</f>
        <v>88.8888888888889</v>
      </c>
      <c r="L50" s="22"/>
      <c r="M50" s="23"/>
      <c r="N50" s="19" t="n">
        <v>1</v>
      </c>
      <c r="O50" s="19" t="n">
        <v>3</v>
      </c>
      <c r="P50" s="61"/>
    </row>
    <row r="51" customFormat="false" ht="15" hidden="false" customHeight="false" outlineLevel="0" collapsed="false">
      <c r="B51" s="45"/>
      <c r="C51" s="64"/>
      <c r="D51" s="54" t="s">
        <v>88</v>
      </c>
      <c r="E51" s="55" t="s">
        <v>50</v>
      </c>
      <c r="F51" s="19" t="n">
        <f aca="false">60/12*8*60</f>
        <v>2400</v>
      </c>
      <c r="G51" s="20" t="n">
        <f aca="false">F51/8</f>
        <v>300</v>
      </c>
      <c r="H51" s="20" t="n">
        <f aca="false">G51*I51</f>
        <v>1350</v>
      </c>
      <c r="I51" s="21" t="n">
        <v>4.5</v>
      </c>
      <c r="J51" s="21" t="n">
        <v>1200</v>
      </c>
      <c r="K51" s="20" t="n">
        <f aca="false">J51/H51*100</f>
        <v>88.8888888888889</v>
      </c>
      <c r="L51" s="22"/>
      <c r="M51" s="83"/>
      <c r="N51" s="19" t="n">
        <v>1</v>
      </c>
      <c r="O51" s="19" t="n">
        <v>1</v>
      </c>
      <c r="P51" s="61"/>
    </row>
    <row r="52" customFormat="false" ht="15" hidden="false" customHeight="false" outlineLevel="0" collapsed="false">
      <c r="B52" s="45"/>
      <c r="C52" s="64"/>
      <c r="D52" s="54"/>
      <c r="E52" s="55"/>
      <c r="F52" s="19"/>
      <c r="G52" s="20"/>
      <c r="H52" s="20"/>
      <c r="I52" s="21"/>
      <c r="J52" s="21"/>
      <c r="K52" s="20"/>
      <c r="L52" s="20"/>
      <c r="M52" s="25"/>
      <c r="N52" s="19"/>
      <c r="O52" s="19"/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35"/>
      <c r="E54" s="55"/>
      <c r="F54" s="19"/>
      <c r="G54" s="20"/>
      <c r="H54" s="20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2205</v>
      </c>
      <c r="I55" s="42"/>
      <c r="J55" s="41" t="n">
        <f aca="false">SUM(J48:J54)</f>
        <v>1886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/>
      <c r="E59" s="39"/>
      <c r="F59" s="19"/>
      <c r="G59" s="19"/>
      <c r="H59" s="20"/>
      <c r="I59" s="21"/>
      <c r="J59" s="21"/>
      <c r="K59" s="20"/>
      <c r="L59" s="26"/>
      <c r="M59" s="28"/>
      <c r="N59" s="26"/>
      <c r="O59" s="26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142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450</v>
      </c>
      <c r="I62" s="72" t="n">
        <v>2.5</v>
      </c>
      <c r="J62" s="72" t="n">
        <f aca="false">150+200</f>
        <v>350</v>
      </c>
      <c r="K62" s="19" t="n">
        <f aca="false">J62/H62*100</f>
        <v>77.7777777777778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111</v>
      </c>
      <c r="F63" s="19" t="n">
        <f aca="false">60/8*8*60</f>
        <v>3600</v>
      </c>
      <c r="G63" s="19" t="n">
        <f aca="false">F63/8</f>
        <v>450</v>
      </c>
      <c r="H63" s="19" t="n">
        <f aca="false">G63*I63</f>
        <v>3600</v>
      </c>
      <c r="I63" s="72" t="n">
        <v>8</v>
      </c>
      <c r="J63" s="72" t="n">
        <v>3000</v>
      </c>
      <c r="K63" s="19" t="n">
        <f aca="false">J63/H63*100</f>
        <v>83.3333333333333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 t="s">
        <v>67</v>
      </c>
      <c r="E64" s="19" t="s">
        <v>112</v>
      </c>
      <c r="F64" s="19" t="n">
        <f aca="false">60/20*8*60</f>
        <v>1440</v>
      </c>
      <c r="G64" s="19" t="n">
        <f aca="false">F64/8</f>
        <v>180</v>
      </c>
      <c r="H64" s="19" t="n">
        <f aca="false">G64*I64</f>
        <v>270</v>
      </c>
      <c r="I64" s="72" t="n">
        <v>1.5</v>
      </c>
      <c r="J64" s="72" t="n">
        <v>220</v>
      </c>
      <c r="K64" s="19" t="n">
        <f aca="false">J64/H64*100</f>
        <v>81.4814814814815</v>
      </c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4320</v>
      </c>
      <c r="I65" s="30"/>
      <c r="J65" s="29" t="n">
        <f aca="false">SUM(J62:J64)</f>
        <v>3570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85" t="s">
        <v>28</v>
      </c>
      <c r="E66" s="86" t="s">
        <v>143</v>
      </c>
      <c r="F66" s="19" t="n">
        <f aca="false">60/12*8*60</f>
        <v>2400</v>
      </c>
      <c r="G66" s="19" t="n">
        <f aca="false">F66/8</f>
        <v>300</v>
      </c>
      <c r="H66" s="20" t="n">
        <f aca="false">G66*I66</f>
        <v>1800</v>
      </c>
      <c r="I66" s="21" t="n">
        <v>6</v>
      </c>
      <c r="J66" s="21" t="n">
        <v>1400</v>
      </c>
      <c r="K66" s="20" t="n">
        <f aca="false">J66/H66*100</f>
        <v>77.7777777777778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54"/>
      <c r="E67" s="55"/>
      <c r="F67" s="19"/>
      <c r="G67" s="20"/>
      <c r="H67" s="20"/>
      <c r="I67" s="21"/>
      <c r="J67" s="21"/>
      <c r="K67" s="20"/>
      <c r="L67" s="20"/>
      <c r="M67" s="25"/>
      <c r="N67" s="20"/>
      <c r="O67" s="20"/>
      <c r="P67" s="58"/>
    </row>
    <row r="68" customFormat="false" ht="15" hidden="false" customHeight="false" outlineLevel="0" collapsed="false">
      <c r="B68" s="15"/>
      <c r="C68" s="37"/>
      <c r="D68" s="54"/>
      <c r="E68" s="36"/>
      <c r="F68" s="19"/>
      <c r="G68" s="20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1800</v>
      </c>
      <c r="I70" s="75"/>
      <c r="J70" s="41" t="n">
        <f aca="false">SUM(J66:J69)</f>
        <v>1400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16839</v>
      </c>
      <c r="I71" s="79" t="s">
        <v>25</v>
      </c>
      <c r="J71" s="78" t="n">
        <f aca="false">J9+J12+J15+J18+J30+J39+J47+J55+J58+J61+J65+J70+J21</f>
        <v>14038</v>
      </c>
      <c r="K71" s="80" t="n">
        <f aca="false">J71/H71</f>
        <v>0.833659956054398</v>
      </c>
      <c r="L71" s="80"/>
      <c r="M71" s="81"/>
      <c r="N71" s="82" t="s">
        <v>79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J23" activeCellId="0" sqref="J23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144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145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7" t="s">
        <v>35</v>
      </c>
      <c r="F6" s="20" t="n">
        <f aca="false">60/60*8*60</f>
        <v>480</v>
      </c>
      <c r="G6" s="20" t="n">
        <f aca="false">F6/8</f>
        <v>60</v>
      </c>
      <c r="H6" s="20" t="n">
        <f aca="false">G6*I6</f>
        <v>300</v>
      </c>
      <c r="I6" s="21" t="n">
        <v>5</v>
      </c>
      <c r="J6" s="21" t="n">
        <v>250</v>
      </c>
      <c r="K6" s="20" t="n">
        <f aca="false">J6/H6*100</f>
        <v>83.3333333333333</v>
      </c>
      <c r="L6" s="22"/>
      <c r="M6" s="23"/>
      <c r="N6" s="19"/>
      <c r="O6" s="19"/>
      <c r="P6" s="24"/>
    </row>
    <row r="7" customFormat="false" ht="15.75" hidden="false" customHeight="false" outlineLevel="0" collapsed="false">
      <c r="B7" s="15"/>
      <c r="C7" s="16"/>
      <c r="D7" s="17"/>
      <c r="E7" s="18"/>
      <c r="F7" s="19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300</v>
      </c>
      <c r="I9" s="30"/>
      <c r="J9" s="29" t="n">
        <f aca="false">SUM(J6:J8)</f>
        <v>250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360</v>
      </c>
      <c r="I13" s="21" t="n">
        <v>3</v>
      </c>
      <c r="J13" s="21" t="n">
        <v>300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360</v>
      </c>
      <c r="I15" s="42"/>
      <c r="J15" s="41" t="n">
        <f aca="false">SUM(J13:J14)</f>
        <v>300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/>
      <c r="E19" s="18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35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21</v>
      </c>
      <c r="E22" s="55" t="s">
        <v>146</v>
      </c>
      <c r="F22" s="19" t="n">
        <f aca="false">60/18*8*60</f>
        <v>1600</v>
      </c>
      <c r="G22" s="20" t="n">
        <f aca="false">F22/8</f>
        <v>200</v>
      </c>
      <c r="H22" s="20" t="n">
        <f aca="false">G22*I22</f>
        <v>700</v>
      </c>
      <c r="I22" s="21" t="n">
        <v>3.5</v>
      </c>
      <c r="J22" s="21" t="n">
        <v>600</v>
      </c>
      <c r="K22" s="20" t="n">
        <f aca="false">J22/H22*100</f>
        <v>85.7142857142857</v>
      </c>
      <c r="L22" s="22"/>
      <c r="M22" s="83"/>
      <c r="N22" s="19" t="n">
        <v>1</v>
      </c>
      <c r="O22" s="19" t="n">
        <v>1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52</v>
      </c>
      <c r="E23" s="55" t="s">
        <v>147</v>
      </c>
      <c r="F23" s="19" t="n">
        <f aca="false">60/18*8*60</f>
        <v>1600</v>
      </c>
      <c r="G23" s="20" t="n">
        <f aca="false">F23/8</f>
        <v>200</v>
      </c>
      <c r="H23" s="20" t="n">
        <f aca="false">G23*I23</f>
        <v>600</v>
      </c>
      <c r="I23" s="21" t="n">
        <v>3</v>
      </c>
      <c r="J23" s="21" t="n">
        <v>560</v>
      </c>
      <c r="K23" s="20" t="n">
        <f aca="false">J23/H23*100</f>
        <v>93.3333333333333</v>
      </c>
      <c r="L23" s="22"/>
      <c r="M23" s="23"/>
      <c r="N23" s="19" t="n">
        <v>1</v>
      </c>
      <c r="O23" s="19" t="n">
        <v>1</v>
      </c>
      <c r="P23" s="56"/>
    </row>
    <row r="24" customFormat="false" ht="22.5" hidden="false" customHeight="false" outlineLevel="0" collapsed="false">
      <c r="B24" s="50"/>
      <c r="C24" s="53"/>
      <c r="D24" s="54" t="s">
        <v>47</v>
      </c>
      <c r="E24" s="55" t="s">
        <v>72</v>
      </c>
      <c r="F24" s="19" t="n">
        <f aca="false">60/18*8*60</f>
        <v>1600</v>
      </c>
      <c r="G24" s="20" t="n">
        <f aca="false">F24/8</f>
        <v>200</v>
      </c>
      <c r="H24" s="20" t="n">
        <f aca="false">G24*I24</f>
        <v>300</v>
      </c>
      <c r="I24" s="21" t="n">
        <v>1.5</v>
      </c>
      <c r="J24" s="21" t="n">
        <v>236</v>
      </c>
      <c r="K24" s="20" t="n">
        <f aca="false">J24/H24*100</f>
        <v>78.6666666666667</v>
      </c>
      <c r="L24" s="22" t="n">
        <v>10</v>
      </c>
      <c r="M24" s="38" t="s">
        <v>148</v>
      </c>
      <c r="N24" s="19" t="n">
        <v>1</v>
      </c>
      <c r="O24" s="19" t="n">
        <v>1</v>
      </c>
      <c r="P24" s="56"/>
    </row>
    <row r="25" customFormat="false" ht="15" hidden="false" customHeight="false" outlineLevel="0" collapsed="false">
      <c r="B25" s="50"/>
      <c r="C25" s="53"/>
      <c r="D25" s="54" t="s">
        <v>49</v>
      </c>
      <c r="E25" s="55" t="s">
        <v>72</v>
      </c>
      <c r="F25" s="19" t="n">
        <f aca="false">60/12*8*60</f>
        <v>2400</v>
      </c>
      <c r="G25" s="20" t="n">
        <f aca="false">F25/8</f>
        <v>300</v>
      </c>
      <c r="H25" s="20" t="n">
        <f aca="false">G25*I25</f>
        <v>600</v>
      </c>
      <c r="I25" s="21" t="n">
        <v>2</v>
      </c>
      <c r="J25" s="21" t="n">
        <f aca="false">236*2</f>
        <v>472</v>
      </c>
      <c r="K25" s="20" t="n">
        <f aca="false">J25/H25*100</f>
        <v>78.6666666666667</v>
      </c>
      <c r="L25" s="22"/>
      <c r="M25" s="83"/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 t="s">
        <v>28</v>
      </c>
      <c r="E26" s="55" t="s">
        <v>149</v>
      </c>
      <c r="F26" s="19" t="n">
        <f aca="false">60/12*8*60</f>
        <v>2400</v>
      </c>
      <c r="G26" s="20" t="n">
        <f aca="false">F26/8</f>
        <v>300</v>
      </c>
      <c r="H26" s="20" t="n">
        <f aca="false">G26*I26</f>
        <v>600</v>
      </c>
      <c r="I26" s="21" t="n">
        <v>2</v>
      </c>
      <c r="J26" s="21" t="n">
        <v>500</v>
      </c>
      <c r="K26" s="20" t="n">
        <f aca="false">J26/H26*100</f>
        <v>83.3333333333333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2800</v>
      </c>
      <c r="I30" s="30"/>
      <c r="J30" s="29" t="n">
        <f aca="false">SUM(J22:J29)</f>
        <v>2368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43</v>
      </c>
      <c r="E31" s="55" t="s">
        <v>147</v>
      </c>
      <c r="F31" s="20" t="n">
        <f aca="false">60/20*8*60</f>
        <v>1440</v>
      </c>
      <c r="G31" s="20" t="n">
        <f aca="false">F31/8</f>
        <v>180</v>
      </c>
      <c r="H31" s="20" t="n">
        <f aca="false">G31*I31</f>
        <v>630</v>
      </c>
      <c r="I31" s="21" t="n">
        <v>3.5</v>
      </c>
      <c r="J31" s="21" t="n">
        <v>560</v>
      </c>
      <c r="K31" s="20" t="n">
        <f aca="false">J31/H31*100</f>
        <v>88.8888888888889</v>
      </c>
      <c r="L31" s="20"/>
      <c r="M31" s="25"/>
      <c r="N31" s="20" t="n">
        <v>1</v>
      </c>
      <c r="O31" s="20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45</v>
      </c>
      <c r="E32" s="55" t="s">
        <v>46</v>
      </c>
      <c r="F32" s="19" t="n">
        <f aca="false">60/40*8*60</f>
        <v>720</v>
      </c>
      <c r="G32" s="20" t="n">
        <f aca="false">F32/8</f>
        <v>90</v>
      </c>
      <c r="H32" s="20" t="n">
        <f aca="false">G32*I32</f>
        <v>90</v>
      </c>
      <c r="I32" s="21" t="n">
        <v>1</v>
      </c>
      <c r="J32" s="21" t="n">
        <f aca="false">39*2</f>
        <v>78</v>
      </c>
      <c r="K32" s="20" t="n">
        <f aca="false">J32/H32*100</f>
        <v>86.6666666666667</v>
      </c>
      <c r="L32" s="20"/>
      <c r="M32" s="25"/>
      <c r="N32" s="19" t="n">
        <v>1</v>
      </c>
      <c r="O32" s="19" t="n">
        <v>3</v>
      </c>
      <c r="P32" s="58"/>
    </row>
    <row r="33" customFormat="false" ht="15" hidden="false" customHeight="false" outlineLevel="0" collapsed="false">
      <c r="B33" s="15"/>
      <c r="C33" s="16"/>
      <c r="D33" s="54" t="s">
        <v>140</v>
      </c>
      <c r="E33" s="55" t="s">
        <v>22</v>
      </c>
      <c r="F33" s="20" t="n">
        <f aca="false">60/20*8*60</f>
        <v>1440</v>
      </c>
      <c r="G33" s="20" t="n">
        <f aca="false">F33/8</f>
        <v>180</v>
      </c>
      <c r="H33" s="20" t="n">
        <f aca="false">G33*I33</f>
        <v>90</v>
      </c>
      <c r="I33" s="21" t="n">
        <v>0.5</v>
      </c>
      <c r="J33" s="21" t="n">
        <v>75</v>
      </c>
      <c r="K33" s="20" t="n">
        <f aca="false">J33/H33*100</f>
        <v>83.3333333333333</v>
      </c>
      <c r="L33" s="20"/>
      <c r="M33" s="84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87</v>
      </c>
      <c r="E34" s="55" t="s">
        <v>22</v>
      </c>
      <c r="F34" s="20" t="n">
        <f aca="false">60/20*8*60</f>
        <v>1440</v>
      </c>
      <c r="G34" s="20" t="n">
        <f aca="false">F34/8</f>
        <v>180</v>
      </c>
      <c r="H34" s="20" t="n">
        <f aca="false">G34*I34</f>
        <v>90</v>
      </c>
      <c r="I34" s="21" t="n">
        <v>0.5</v>
      </c>
      <c r="J34" s="21" t="n">
        <v>75</v>
      </c>
      <c r="K34" s="20" t="n">
        <f aca="false">J34/H34*100</f>
        <v>83.3333333333333</v>
      </c>
      <c r="L34" s="20"/>
      <c r="M34" s="25"/>
      <c r="N34" s="20" t="n">
        <v>1</v>
      </c>
      <c r="O34" s="20" t="n">
        <v>1</v>
      </c>
      <c r="P34" s="58"/>
    </row>
    <row r="35" customFormat="false" ht="15" hidden="false" customHeight="false" outlineLevel="0" collapsed="false">
      <c r="B35" s="15"/>
      <c r="C35" s="16"/>
      <c r="D35" s="54" t="s">
        <v>106</v>
      </c>
      <c r="E35" s="55" t="s">
        <v>72</v>
      </c>
      <c r="F35" s="20" t="n">
        <f aca="false">60/20*8*60</f>
        <v>1440</v>
      </c>
      <c r="G35" s="20" t="n">
        <f aca="false">F35/8</f>
        <v>180</v>
      </c>
      <c r="H35" s="20" t="n">
        <f aca="false">G35*I35</f>
        <v>270</v>
      </c>
      <c r="I35" s="21" t="n">
        <v>1.5</v>
      </c>
      <c r="J35" s="21" t="n">
        <v>236</v>
      </c>
      <c r="K35" s="20" t="n">
        <f aca="false">J35/H35*100</f>
        <v>87.4074074074074</v>
      </c>
      <c r="L35" s="22"/>
      <c r="M35" s="23"/>
      <c r="N35" s="19" t="n">
        <v>1</v>
      </c>
      <c r="O35" s="19" t="n">
        <v>0</v>
      </c>
      <c r="P35" s="58"/>
    </row>
    <row r="36" customFormat="false" ht="15" hidden="false" customHeight="false" outlineLevel="0" collapsed="false">
      <c r="B36" s="15"/>
      <c r="C36" s="16"/>
      <c r="D36" s="54" t="s">
        <v>45</v>
      </c>
      <c r="E36" s="55" t="s">
        <v>86</v>
      </c>
      <c r="F36" s="19" t="n">
        <f aca="false">60/40*8*60</f>
        <v>720</v>
      </c>
      <c r="G36" s="20" t="n">
        <f aca="false">F36/8</f>
        <v>90</v>
      </c>
      <c r="H36" s="20" t="n">
        <f aca="false">G36*I36</f>
        <v>90</v>
      </c>
      <c r="I36" s="21" t="n">
        <v>1</v>
      </c>
      <c r="J36" s="21" t="n">
        <v>80</v>
      </c>
      <c r="K36" s="20" t="n">
        <f aca="false">J36/H36*100</f>
        <v>88.8888888888889</v>
      </c>
      <c r="L36" s="22"/>
      <c r="M36" s="23"/>
      <c r="N36" s="19" t="n">
        <v>1</v>
      </c>
      <c r="O36" s="19" t="n">
        <v>3</v>
      </c>
      <c r="P36" s="58"/>
    </row>
    <row r="37" customFormat="false" ht="15" hidden="false" customHeight="false" outlineLevel="0" collapsed="false">
      <c r="B37" s="15"/>
      <c r="C37" s="16"/>
      <c r="D37" s="54" t="s">
        <v>47</v>
      </c>
      <c r="E37" s="55" t="s">
        <v>112</v>
      </c>
      <c r="F37" s="19" t="n">
        <f aca="false">60/18*8*60</f>
        <v>1600</v>
      </c>
      <c r="G37" s="20" t="n">
        <f aca="false">F37/8</f>
        <v>200</v>
      </c>
      <c r="H37" s="20" t="n">
        <f aca="false">G37*I37</f>
        <v>500</v>
      </c>
      <c r="I37" s="21" t="n">
        <v>2.5</v>
      </c>
      <c r="J37" s="21" t="n">
        <f aca="false">220*2</f>
        <v>440</v>
      </c>
      <c r="K37" s="20" t="n">
        <f aca="false">J37/H37*100</f>
        <v>88</v>
      </c>
      <c r="L37" s="20"/>
      <c r="M37" s="25"/>
      <c r="N37" s="19" t="n">
        <v>1</v>
      </c>
      <c r="O37" s="19" t="n">
        <v>1</v>
      </c>
      <c r="P37" s="58"/>
    </row>
    <row r="38" customFormat="false" ht="15" hidden="false" customHeight="false" outlineLevel="0" collapsed="false">
      <c r="B38" s="15"/>
      <c r="C38" s="16"/>
      <c r="D38" s="54" t="s">
        <v>106</v>
      </c>
      <c r="E38" s="55" t="s">
        <v>112</v>
      </c>
      <c r="F38" s="19" t="n">
        <f aca="false">60/20*8*60</f>
        <v>1440</v>
      </c>
      <c r="G38" s="20" t="n">
        <f aca="false">F38/8</f>
        <v>180</v>
      </c>
      <c r="H38" s="20" t="n">
        <f aca="false">G38*I38</f>
        <v>270</v>
      </c>
      <c r="I38" s="21" t="n">
        <v>1.5</v>
      </c>
      <c r="J38" s="21" t="n">
        <v>220</v>
      </c>
      <c r="K38" s="20" t="n">
        <f aca="false">J38/H38*100</f>
        <v>81.4814814814815</v>
      </c>
      <c r="L38" s="20"/>
      <c r="M38" s="25"/>
      <c r="N38" s="19" t="n">
        <v>1</v>
      </c>
      <c r="O38" s="19" t="n">
        <v>1</v>
      </c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2030</v>
      </c>
      <c r="I39" s="42"/>
      <c r="J39" s="49" t="n">
        <f aca="false">SUM(J31:J38)</f>
        <v>1764</v>
      </c>
      <c r="K39" s="43"/>
      <c r="L39" s="43"/>
      <c r="M39" s="44"/>
      <c r="N39" s="43"/>
      <c r="O39" s="43"/>
      <c r="P39" s="58"/>
    </row>
    <row r="40" customFormat="false" ht="22.5" hidden="false" customHeight="true" outlineLevel="0" collapsed="false">
      <c r="B40" s="45" t="n">
        <v>7</v>
      </c>
      <c r="C40" s="60" t="s">
        <v>51</v>
      </c>
      <c r="D40" s="54" t="s">
        <v>140</v>
      </c>
      <c r="E40" s="55" t="s">
        <v>150</v>
      </c>
      <c r="F40" s="20" t="n">
        <f aca="false">60/20*8*60</f>
        <v>1440</v>
      </c>
      <c r="G40" s="20" t="n">
        <f aca="false">F40/8</f>
        <v>180</v>
      </c>
      <c r="H40" s="20" t="n">
        <f aca="false">G40*I40</f>
        <v>360</v>
      </c>
      <c r="I40" s="21" t="n">
        <v>2</v>
      </c>
      <c r="J40" s="21" t="n">
        <v>290</v>
      </c>
      <c r="K40" s="20" t="n">
        <f aca="false">J40/H40*100</f>
        <v>80.5555555555556</v>
      </c>
      <c r="L40" s="20" t="n">
        <v>20</v>
      </c>
      <c r="M40" s="59" t="s">
        <v>148</v>
      </c>
      <c r="N40" s="19" t="n">
        <v>1</v>
      </c>
      <c r="O40" s="19" t="n">
        <v>1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140</v>
      </c>
      <c r="E41" s="55" t="s">
        <v>151</v>
      </c>
      <c r="F41" s="20" t="n">
        <f aca="false">60/20*8*60</f>
        <v>1440</v>
      </c>
      <c r="G41" s="20" t="n">
        <f aca="false">F41/8</f>
        <v>180</v>
      </c>
      <c r="H41" s="20" t="n">
        <f aca="false">G41*I41</f>
        <v>180</v>
      </c>
      <c r="I41" s="21" t="n">
        <v>1</v>
      </c>
      <c r="J41" s="21" t="n">
        <v>140</v>
      </c>
      <c r="K41" s="20" t="n">
        <f aca="false">J41/H41*100</f>
        <v>77.7777777777778</v>
      </c>
      <c r="L41" s="22"/>
      <c r="M41" s="23"/>
      <c r="N41" s="19" t="n">
        <v>1</v>
      </c>
      <c r="O41" s="19" t="n">
        <v>1</v>
      </c>
      <c r="P41" s="61"/>
    </row>
    <row r="42" customFormat="false" ht="15" hidden="false" customHeight="false" outlineLevel="0" collapsed="false">
      <c r="B42" s="45"/>
      <c r="C42" s="60"/>
      <c r="D42" s="54" t="s">
        <v>21</v>
      </c>
      <c r="E42" s="55" t="s">
        <v>55</v>
      </c>
      <c r="F42" s="19" t="n">
        <f aca="false">60/12*8*60</f>
        <v>2400</v>
      </c>
      <c r="G42" s="20" t="n">
        <f aca="false">F42/8</f>
        <v>300</v>
      </c>
      <c r="H42" s="20" t="n">
        <f aca="false">G42*I42</f>
        <v>2250</v>
      </c>
      <c r="I42" s="21" t="n">
        <v>7.5</v>
      </c>
      <c r="J42" s="21" t="n">
        <v>1700</v>
      </c>
      <c r="K42" s="20" t="n">
        <f aca="false">J42/H42*100</f>
        <v>75.5555555555556</v>
      </c>
      <c r="L42" s="22"/>
      <c r="M42" s="23"/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 t="s">
        <v>90</v>
      </c>
      <c r="E43" s="55" t="s">
        <v>112</v>
      </c>
      <c r="F43" s="19" t="n">
        <f aca="false">60/20*8*60</f>
        <v>1440</v>
      </c>
      <c r="G43" s="20" t="n">
        <f aca="false">F43/8</f>
        <v>180</v>
      </c>
      <c r="H43" s="20" t="n">
        <f aca="false">G43*I43</f>
        <v>270</v>
      </c>
      <c r="I43" s="21" t="n">
        <v>1.5</v>
      </c>
      <c r="J43" s="21" t="n">
        <v>220</v>
      </c>
      <c r="K43" s="20" t="n">
        <f aca="false">J43/H43*100</f>
        <v>81.4814814814815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20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20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3060</v>
      </c>
      <c r="I47" s="63"/>
      <c r="J47" s="41" t="n">
        <f aca="false">SUM(J40:J46)</f>
        <v>2350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90</v>
      </c>
      <c r="E48" s="55" t="s">
        <v>152</v>
      </c>
      <c r="F48" s="19" t="n">
        <f aca="false">60/30*8*60</f>
        <v>960</v>
      </c>
      <c r="G48" s="20" t="n">
        <f aca="false">F48/8</f>
        <v>120</v>
      </c>
      <c r="H48" s="20" t="n">
        <f aca="false">G48*I48</f>
        <v>60</v>
      </c>
      <c r="I48" s="21" t="n">
        <v>0.5</v>
      </c>
      <c r="J48" s="21" t="n">
        <v>50</v>
      </c>
      <c r="K48" s="20" t="n">
        <f aca="false">J48/H48*100</f>
        <v>83.3333333333333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116</v>
      </c>
      <c r="E49" s="55" t="s">
        <v>152</v>
      </c>
      <c r="F49" s="19" t="n">
        <f aca="false">60/30*8*60</f>
        <v>960</v>
      </c>
      <c r="G49" s="20" t="n">
        <f aca="false">F49/8</f>
        <v>120</v>
      </c>
      <c r="H49" s="20" t="n">
        <f aca="false">G49*I49</f>
        <v>120</v>
      </c>
      <c r="I49" s="21" t="n">
        <v>1</v>
      </c>
      <c r="J49" s="21" t="n">
        <v>110</v>
      </c>
      <c r="K49" s="20" t="n">
        <f aca="false">J49/H49*100</f>
        <v>91.6666666666667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28</v>
      </c>
      <c r="E50" s="55" t="s">
        <v>55</v>
      </c>
      <c r="F50" s="19" t="n">
        <f aca="false">60/8*8*60</f>
        <v>3600</v>
      </c>
      <c r="G50" s="20" t="n">
        <f aca="false">F50/8</f>
        <v>450</v>
      </c>
      <c r="H50" s="20" t="n">
        <f aca="false">G50*I50</f>
        <v>2700</v>
      </c>
      <c r="I50" s="21" t="n">
        <v>6</v>
      </c>
      <c r="J50" s="21" t="n">
        <v>2300</v>
      </c>
      <c r="K50" s="20" t="n">
        <f aca="false">J50/H50*100</f>
        <v>85.1851851851852</v>
      </c>
      <c r="L50" s="22"/>
      <c r="M50" s="23"/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 t="s">
        <v>90</v>
      </c>
      <c r="E51" s="55" t="s">
        <v>152</v>
      </c>
      <c r="F51" s="19" t="n">
        <f aca="false">60/30*8*60</f>
        <v>960</v>
      </c>
      <c r="G51" s="20" t="n">
        <f aca="false">F51/8</f>
        <v>120</v>
      </c>
      <c r="H51" s="20" t="n">
        <f aca="false">G51*I51</f>
        <v>60</v>
      </c>
      <c r="I51" s="21" t="n">
        <v>0.5</v>
      </c>
      <c r="J51" s="21" t="n">
        <v>57</v>
      </c>
      <c r="K51" s="20" t="n">
        <f aca="false">J51/H51*100</f>
        <v>95</v>
      </c>
      <c r="L51" s="22"/>
      <c r="M51" s="83"/>
      <c r="N51" s="19" t="n">
        <v>1</v>
      </c>
      <c r="O51" s="19" t="n">
        <v>1</v>
      </c>
      <c r="P51" s="61"/>
    </row>
    <row r="52" customFormat="false" ht="15" hidden="false" customHeight="false" outlineLevel="0" collapsed="false">
      <c r="B52" s="45"/>
      <c r="C52" s="64"/>
      <c r="D52" s="54" t="s">
        <v>45</v>
      </c>
      <c r="E52" s="55" t="s">
        <v>152</v>
      </c>
      <c r="F52" s="19" t="n">
        <f aca="false">60/30*8*60</f>
        <v>960</v>
      </c>
      <c r="G52" s="20" t="n">
        <f aca="false">F52/8</f>
        <v>120</v>
      </c>
      <c r="H52" s="20" t="n">
        <f aca="false">G52*I52</f>
        <v>60</v>
      </c>
      <c r="I52" s="21" t="n">
        <v>0.5</v>
      </c>
      <c r="J52" s="21" t="n">
        <v>57</v>
      </c>
      <c r="K52" s="20" t="n">
        <f aca="false">J52/H52*100</f>
        <v>95</v>
      </c>
      <c r="L52" s="20"/>
      <c r="M52" s="25"/>
      <c r="N52" s="19" t="n">
        <v>1</v>
      </c>
      <c r="O52" s="19" t="n">
        <v>1</v>
      </c>
      <c r="P52" s="61"/>
    </row>
    <row r="53" customFormat="false" ht="15" hidden="false" customHeight="false" outlineLevel="0" collapsed="false">
      <c r="B53" s="45"/>
      <c r="C53" s="64"/>
      <c r="D53" s="54" t="s">
        <v>117</v>
      </c>
      <c r="E53" s="55" t="s">
        <v>150</v>
      </c>
      <c r="F53" s="20" t="n">
        <f aca="false">60/20*8*60</f>
        <v>1440</v>
      </c>
      <c r="G53" s="20" t="n">
        <f aca="false">F53/8</f>
        <v>180</v>
      </c>
      <c r="H53" s="20" t="n">
        <f aca="false">G53*I53</f>
        <v>360</v>
      </c>
      <c r="I53" s="21" t="n">
        <v>2</v>
      </c>
      <c r="J53" s="21" t="n">
        <v>290</v>
      </c>
      <c r="K53" s="20" t="n">
        <f aca="false">J53/H53*100</f>
        <v>80.5555555555556</v>
      </c>
      <c r="L53" s="22"/>
      <c r="M53" s="23"/>
      <c r="N53" s="19" t="n">
        <v>1</v>
      </c>
      <c r="O53" s="19" t="n">
        <v>1</v>
      </c>
      <c r="P53" s="61"/>
    </row>
    <row r="54" customFormat="false" ht="15" hidden="false" customHeight="false" outlineLevel="0" collapsed="false">
      <c r="B54" s="45"/>
      <c r="C54" s="64"/>
      <c r="D54" s="35"/>
      <c r="E54" s="55"/>
      <c r="F54" s="19"/>
      <c r="G54" s="20"/>
      <c r="H54" s="20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3360</v>
      </c>
      <c r="I55" s="42"/>
      <c r="J55" s="41" t="n">
        <f aca="false">SUM(J48:J54)</f>
        <v>2864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/>
      <c r="E59" s="39"/>
      <c r="F59" s="19"/>
      <c r="G59" s="19"/>
      <c r="H59" s="20"/>
      <c r="I59" s="21"/>
      <c r="J59" s="21"/>
      <c r="K59" s="20"/>
      <c r="L59" s="26"/>
      <c r="M59" s="28"/>
      <c r="N59" s="26"/>
      <c r="O59" s="26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55</v>
      </c>
      <c r="F62" s="19" t="n">
        <f aca="false">60/16*8*60</f>
        <v>1800</v>
      </c>
      <c r="G62" s="19" t="n">
        <f aca="false">F62/8</f>
        <v>225</v>
      </c>
      <c r="H62" s="19" t="n">
        <f aca="false">G62*I62</f>
        <v>1237.5</v>
      </c>
      <c r="I62" s="72" t="n">
        <v>5.5</v>
      </c>
      <c r="J62" s="72" t="n">
        <v>1072</v>
      </c>
      <c r="K62" s="19" t="n">
        <f aca="false">J62/H62*100</f>
        <v>86.6262626262626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147</v>
      </c>
      <c r="F63" s="19" t="n">
        <f aca="false">60/16*8*60</f>
        <v>1800</v>
      </c>
      <c r="G63" s="19" t="n">
        <f aca="false">F63/8</f>
        <v>225</v>
      </c>
      <c r="H63" s="19" t="n">
        <f aca="false">G63*I63</f>
        <v>675</v>
      </c>
      <c r="I63" s="72" t="n">
        <v>3</v>
      </c>
      <c r="J63" s="72" t="n">
        <v>560</v>
      </c>
      <c r="K63" s="19" t="n">
        <f aca="false">J63/H63*100</f>
        <v>82.962962962963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 t="s">
        <v>67</v>
      </c>
      <c r="E64" s="19" t="s">
        <v>72</v>
      </c>
      <c r="F64" s="19" t="n">
        <f aca="false">60/20*8*60</f>
        <v>1440</v>
      </c>
      <c r="G64" s="19" t="n">
        <f aca="false">F64/8</f>
        <v>180</v>
      </c>
      <c r="H64" s="19" t="n">
        <f aca="false">G64*I64</f>
        <v>270</v>
      </c>
      <c r="I64" s="72" t="n">
        <v>1.5</v>
      </c>
      <c r="J64" s="72" t="n">
        <v>236</v>
      </c>
      <c r="K64" s="19" t="n">
        <f aca="false">J64/H64*100</f>
        <v>87.4074074074074</v>
      </c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2182.5</v>
      </c>
      <c r="I65" s="30"/>
      <c r="J65" s="29" t="n">
        <f aca="false">SUM(J62:J64)</f>
        <v>1868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85" t="s">
        <v>71</v>
      </c>
      <c r="E66" s="86" t="s">
        <v>112</v>
      </c>
      <c r="F66" s="19" t="n">
        <f aca="false">60/20*8*60</f>
        <v>1440</v>
      </c>
      <c r="G66" s="19" t="n">
        <f aca="false">F66/8</f>
        <v>180</v>
      </c>
      <c r="H66" s="20" t="n">
        <f aca="false">G66*I66</f>
        <v>270</v>
      </c>
      <c r="I66" s="21" t="n">
        <v>1.5</v>
      </c>
      <c r="J66" s="21" t="n">
        <v>220</v>
      </c>
      <c r="K66" s="20" t="n">
        <f aca="false">J66/H66*100</f>
        <v>81.4814814814815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54" t="s">
        <v>153</v>
      </c>
      <c r="E67" s="55" t="s">
        <v>143</v>
      </c>
      <c r="F67" s="19" t="n">
        <f aca="false">60/16*8*60</f>
        <v>1800</v>
      </c>
      <c r="G67" s="19" t="n">
        <f aca="false">F67/8</f>
        <v>225</v>
      </c>
      <c r="H67" s="20" t="n">
        <f aca="false">G67*I67</f>
        <v>1125</v>
      </c>
      <c r="I67" s="21" t="n">
        <v>5</v>
      </c>
      <c r="J67" s="21" t="n">
        <v>1000</v>
      </c>
      <c r="K67" s="20" t="n">
        <f aca="false">J67/H67*100</f>
        <v>88.8888888888889</v>
      </c>
      <c r="L67" s="20"/>
      <c r="M67" s="25"/>
      <c r="N67" s="20"/>
      <c r="O67" s="20"/>
      <c r="P67" s="58"/>
    </row>
    <row r="68" customFormat="false" ht="15" hidden="false" customHeight="false" outlineLevel="0" collapsed="false">
      <c r="B68" s="15"/>
      <c r="C68" s="37"/>
      <c r="D68" s="54" t="s">
        <v>154</v>
      </c>
      <c r="E68" s="55" t="s">
        <v>143</v>
      </c>
      <c r="F68" s="19" t="n">
        <f aca="false">60/20*8*60</f>
        <v>1440</v>
      </c>
      <c r="G68" s="19" t="n">
        <f aca="false">F68/8</f>
        <v>180</v>
      </c>
      <c r="H68" s="20" t="n">
        <f aca="false">G68*I68</f>
        <v>630</v>
      </c>
      <c r="I68" s="21" t="n">
        <v>3.5</v>
      </c>
      <c r="J68" s="21" t="n">
        <v>500</v>
      </c>
      <c r="K68" s="20" t="n">
        <f aca="false">J68/H68*100</f>
        <v>79.3650793650794</v>
      </c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2025</v>
      </c>
      <c r="I70" s="75"/>
      <c r="J70" s="41" t="n">
        <f aca="false">SUM(J66:J69)</f>
        <v>1720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17377.5</v>
      </c>
      <c r="I71" s="79" t="s">
        <v>25</v>
      </c>
      <c r="J71" s="78" t="n">
        <f aca="false">J9+J12+J15+J18+J30+J39+J47+J55+J58+J61+J65+J70+J21</f>
        <v>14484</v>
      </c>
      <c r="K71" s="80" t="n">
        <f aca="false">J71/H71</f>
        <v>0.833491583944756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3" activeCellId="0" sqref="E53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155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156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7" t="s">
        <v>22</v>
      </c>
      <c r="F6" s="20" t="n">
        <f aca="false">60/60*8*60</f>
        <v>480</v>
      </c>
      <c r="G6" s="20" t="n">
        <f aca="false">F6/8</f>
        <v>60</v>
      </c>
      <c r="H6" s="20" t="n">
        <f aca="false">G6*I6</f>
        <v>420</v>
      </c>
      <c r="I6" s="21" t="n">
        <v>7</v>
      </c>
      <c r="J6" s="21" t="n">
        <v>350</v>
      </c>
      <c r="K6" s="20" t="n">
        <f aca="false">J6/H6*100</f>
        <v>83.3333333333333</v>
      </c>
      <c r="L6" s="22"/>
      <c r="M6" s="23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 t="s">
        <v>43</v>
      </c>
      <c r="E7" s="18" t="s">
        <v>157</v>
      </c>
      <c r="F7" s="20" t="n">
        <f aca="false">60/120*8*60</f>
        <v>240</v>
      </c>
      <c r="G7" s="20" t="n">
        <f aca="false">F7/8</f>
        <v>30</v>
      </c>
      <c r="H7" s="20" t="n">
        <f aca="false">G7*I7</f>
        <v>45</v>
      </c>
      <c r="I7" s="21" t="n">
        <v>1.5</v>
      </c>
      <c r="J7" s="21" t="n">
        <v>40</v>
      </c>
      <c r="K7" s="20" t="n">
        <f aca="false">J7/H7*100</f>
        <v>88.8888888888889</v>
      </c>
      <c r="L7" s="20"/>
      <c r="M7" s="25"/>
      <c r="N7" s="19" t="n">
        <v>1</v>
      </c>
      <c r="O7" s="19" t="n">
        <v>1</v>
      </c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465</v>
      </c>
      <c r="I9" s="30"/>
      <c r="J9" s="29" t="n">
        <f aca="false">SUM(J6:J8)</f>
        <v>390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600</v>
      </c>
      <c r="I13" s="21" t="n">
        <v>5</v>
      </c>
      <c r="J13" s="21" t="n">
        <v>500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600</v>
      </c>
      <c r="I15" s="42"/>
      <c r="J15" s="41" t="n">
        <f aca="false">SUM(J13:J14)</f>
        <v>500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17"/>
      <c r="E19" s="18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35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140</v>
      </c>
      <c r="E22" s="55" t="s">
        <v>22</v>
      </c>
      <c r="F22" s="20" t="n">
        <f aca="false">60/20*8*60</f>
        <v>1440</v>
      </c>
      <c r="G22" s="20" t="n">
        <f aca="false">F22/8</f>
        <v>180</v>
      </c>
      <c r="H22" s="20" t="n">
        <f aca="false">G22*I22</f>
        <v>540</v>
      </c>
      <c r="I22" s="21" t="n">
        <v>3</v>
      </c>
      <c r="J22" s="21" t="n">
        <f aca="false">340+75</f>
        <v>415</v>
      </c>
      <c r="K22" s="20" t="n">
        <f aca="false">J22/H22*100</f>
        <v>76.8518518518519</v>
      </c>
      <c r="L22" s="22"/>
      <c r="M22" s="83"/>
      <c r="N22" s="19" t="n">
        <v>1</v>
      </c>
      <c r="O22" s="19" t="n">
        <v>1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158</v>
      </c>
      <c r="E23" s="55" t="s">
        <v>149</v>
      </c>
      <c r="F23" s="19" t="n">
        <f aca="false">60/18*8*60</f>
        <v>1600</v>
      </c>
      <c r="G23" s="20" t="n">
        <f aca="false">F23/8</f>
        <v>200</v>
      </c>
      <c r="H23" s="20" t="n">
        <f aca="false">G23*I23</f>
        <v>900</v>
      </c>
      <c r="I23" s="21" t="n">
        <v>4.5</v>
      </c>
      <c r="J23" s="21" t="n">
        <v>800</v>
      </c>
      <c r="K23" s="20" t="n">
        <f aca="false">J23/H23*100</f>
        <v>88.8888888888889</v>
      </c>
      <c r="L23" s="22"/>
      <c r="M23" s="23"/>
      <c r="N23" s="19" t="n">
        <v>1</v>
      </c>
      <c r="O23" s="19" t="n">
        <v>1</v>
      </c>
      <c r="P23" s="56"/>
    </row>
    <row r="24" customFormat="false" ht="22.5" hidden="false" customHeight="false" outlineLevel="0" collapsed="false">
      <c r="B24" s="50"/>
      <c r="C24" s="53"/>
      <c r="D24" s="54" t="s">
        <v>159</v>
      </c>
      <c r="E24" s="55" t="s">
        <v>160</v>
      </c>
      <c r="F24" s="19" t="n">
        <f aca="false">60/18*8*60</f>
        <v>1600</v>
      </c>
      <c r="G24" s="20" t="n">
        <f aca="false">F24/8</f>
        <v>200</v>
      </c>
      <c r="H24" s="20" t="n">
        <f aca="false">G24*I24</f>
        <v>500</v>
      </c>
      <c r="I24" s="21" t="n">
        <v>2.5</v>
      </c>
      <c r="J24" s="21" t="n">
        <v>414</v>
      </c>
      <c r="K24" s="20" t="n">
        <f aca="false">J24/H24*100</f>
        <v>82.8</v>
      </c>
      <c r="L24" s="22" t="n">
        <v>10</v>
      </c>
      <c r="M24" s="38" t="s">
        <v>148</v>
      </c>
      <c r="N24" s="19" t="n">
        <v>1</v>
      </c>
      <c r="O24" s="19" t="n">
        <v>1</v>
      </c>
      <c r="P24" s="56"/>
    </row>
    <row r="25" customFormat="false" ht="15" hidden="false" customHeight="false" outlineLevel="0" collapsed="false">
      <c r="B25" s="50"/>
      <c r="C25" s="53"/>
      <c r="D25" s="54" t="s">
        <v>161</v>
      </c>
      <c r="E25" s="55" t="s">
        <v>160</v>
      </c>
      <c r="F25" s="19" t="n">
        <f aca="false">60/18*8*60</f>
        <v>1600</v>
      </c>
      <c r="G25" s="20" t="n">
        <f aca="false">F25/8</f>
        <v>200</v>
      </c>
      <c r="H25" s="20" t="n">
        <f aca="false">G25*I25</f>
        <v>500</v>
      </c>
      <c r="I25" s="21" t="n">
        <v>2.5</v>
      </c>
      <c r="J25" s="21" t="n">
        <v>415</v>
      </c>
      <c r="K25" s="20" t="n">
        <f aca="false">J25/H25*100</f>
        <v>83</v>
      </c>
      <c r="L25" s="22"/>
      <c r="M25" s="83"/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 t="s">
        <v>28</v>
      </c>
      <c r="E26" s="55" t="s">
        <v>149</v>
      </c>
      <c r="F26" s="19" t="n">
        <f aca="false">60/18*8*60</f>
        <v>1600</v>
      </c>
      <c r="G26" s="20" t="n">
        <f aca="false">F26/8</f>
        <v>200</v>
      </c>
      <c r="H26" s="20" t="n">
        <f aca="false">G26*I26</f>
        <v>1000</v>
      </c>
      <c r="I26" s="21" t="n">
        <v>5</v>
      </c>
      <c r="J26" s="21" t="n">
        <v>917</v>
      </c>
      <c r="K26" s="20" t="n">
        <f aca="false">J26/H26*100</f>
        <v>91.7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3440</v>
      </c>
      <c r="I30" s="30"/>
      <c r="J30" s="29" t="n">
        <f aca="false">SUM(J22:J29)</f>
        <v>2961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87</v>
      </c>
      <c r="E31" s="55" t="s">
        <v>22</v>
      </c>
      <c r="F31" s="20" t="n">
        <f aca="false">60/20*8*60</f>
        <v>1440</v>
      </c>
      <c r="G31" s="20" t="n">
        <f aca="false">F31/8</f>
        <v>180</v>
      </c>
      <c r="H31" s="20" t="n">
        <f aca="false">G31*I31</f>
        <v>540</v>
      </c>
      <c r="I31" s="21" t="n">
        <v>3</v>
      </c>
      <c r="J31" s="21" t="n">
        <f aca="false">340+75</f>
        <v>415</v>
      </c>
      <c r="K31" s="20" t="n">
        <f aca="false">J31/H31*100</f>
        <v>76.8518518518518</v>
      </c>
      <c r="L31" s="20"/>
      <c r="M31" s="25"/>
      <c r="N31" s="20" t="n">
        <v>1</v>
      </c>
      <c r="O31" s="20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34</v>
      </c>
      <c r="E32" s="55" t="s">
        <v>124</v>
      </c>
      <c r="F32" s="20" t="n">
        <f aca="false">60/20*8*60</f>
        <v>1440</v>
      </c>
      <c r="G32" s="20" t="n">
        <f aca="false">F32/8</f>
        <v>180</v>
      </c>
      <c r="H32" s="20" t="n">
        <f aca="false">G32*I32</f>
        <v>180</v>
      </c>
      <c r="I32" s="21" t="n">
        <v>1</v>
      </c>
      <c r="J32" s="21" t="n">
        <v>170</v>
      </c>
      <c r="K32" s="20" t="n">
        <f aca="false">J32/H32*100</f>
        <v>94.4444444444444</v>
      </c>
      <c r="L32" s="20"/>
      <c r="M32" s="25"/>
      <c r="N32" s="19" t="n">
        <v>1</v>
      </c>
      <c r="O32" s="19" t="n">
        <v>3</v>
      </c>
      <c r="P32" s="58"/>
    </row>
    <row r="33" customFormat="false" ht="15" hidden="false" customHeight="false" outlineLevel="0" collapsed="false">
      <c r="B33" s="15"/>
      <c r="C33" s="16"/>
      <c r="D33" s="54" t="s">
        <v>47</v>
      </c>
      <c r="E33" s="55" t="s">
        <v>72</v>
      </c>
      <c r="F33" s="20" t="n">
        <f aca="false">60/20*8*60</f>
        <v>1440</v>
      </c>
      <c r="G33" s="20" t="n">
        <f aca="false">F33/8</f>
        <v>180</v>
      </c>
      <c r="H33" s="20" t="n">
        <f aca="false">G33*I33</f>
        <v>360</v>
      </c>
      <c r="I33" s="21" t="n">
        <v>2</v>
      </c>
      <c r="J33" s="21" t="n">
        <v>300</v>
      </c>
      <c r="K33" s="20" t="n">
        <f aca="false">J33/H33*100</f>
        <v>83.3333333333333</v>
      </c>
      <c r="L33" s="20"/>
      <c r="M33" s="84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162</v>
      </c>
      <c r="E34" s="55" t="s">
        <v>160</v>
      </c>
      <c r="F34" s="20" t="n">
        <f aca="false">60/20*8*60</f>
        <v>1440</v>
      </c>
      <c r="G34" s="20" t="n">
        <f aca="false">F34/8</f>
        <v>180</v>
      </c>
      <c r="H34" s="20" t="n">
        <f aca="false">G34*I34</f>
        <v>270</v>
      </c>
      <c r="I34" s="21" t="n">
        <v>1.5</v>
      </c>
      <c r="J34" s="21" t="n">
        <v>192</v>
      </c>
      <c r="K34" s="20" t="n">
        <f aca="false">J34/H34*100</f>
        <v>71.1111111111111</v>
      </c>
      <c r="L34" s="20" t="n">
        <v>20</v>
      </c>
      <c r="M34" s="84" t="s">
        <v>163</v>
      </c>
      <c r="N34" s="20" t="n">
        <v>1</v>
      </c>
      <c r="O34" s="20" t="n">
        <v>1</v>
      </c>
      <c r="P34" s="58"/>
    </row>
    <row r="35" customFormat="false" ht="15" hidden="false" customHeight="false" outlineLevel="0" collapsed="false">
      <c r="B35" s="15"/>
      <c r="C35" s="16"/>
      <c r="D35" s="54" t="s">
        <v>21</v>
      </c>
      <c r="E35" s="55" t="s">
        <v>42</v>
      </c>
      <c r="F35" s="20" t="n">
        <f aca="false">60/20*8*60</f>
        <v>1440</v>
      </c>
      <c r="G35" s="20" t="n">
        <f aca="false">F35/8</f>
        <v>180</v>
      </c>
      <c r="H35" s="20" t="n">
        <f aca="false">G35*I35</f>
        <v>450</v>
      </c>
      <c r="I35" s="21" t="n">
        <v>2.5</v>
      </c>
      <c r="J35" s="21" t="n">
        <v>400</v>
      </c>
      <c r="K35" s="20" t="n">
        <f aca="false">J35/H35*100</f>
        <v>88.8888888888889</v>
      </c>
      <c r="L35" s="22"/>
      <c r="M35" s="23"/>
      <c r="N35" s="19" t="n">
        <v>1</v>
      </c>
      <c r="O35" s="19" t="n">
        <v>0</v>
      </c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19"/>
      <c r="G36" s="20"/>
      <c r="H36" s="20"/>
      <c r="I36" s="21"/>
      <c r="J36" s="21"/>
      <c r="K36" s="20"/>
      <c r="L36" s="22"/>
      <c r="M36" s="2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1800</v>
      </c>
      <c r="I39" s="42"/>
      <c r="J39" s="49" t="n">
        <f aca="false">SUM(J31:J38)</f>
        <v>1477</v>
      </c>
      <c r="K39" s="43"/>
      <c r="L39" s="43"/>
      <c r="M39" s="44"/>
      <c r="N39" s="43"/>
      <c r="O39" s="43"/>
      <c r="P39" s="58"/>
    </row>
    <row r="40" customFormat="false" ht="22.5" hidden="false" customHeight="true" outlineLevel="0" collapsed="false">
      <c r="B40" s="45" t="n">
        <v>7</v>
      </c>
      <c r="C40" s="60" t="s">
        <v>51</v>
      </c>
      <c r="D40" s="54" t="s">
        <v>90</v>
      </c>
      <c r="E40" s="55" t="s">
        <v>164</v>
      </c>
      <c r="F40" s="19" t="n">
        <f aca="false">60/30*8*60</f>
        <v>960</v>
      </c>
      <c r="G40" s="20" t="n">
        <f aca="false">F40/8</f>
        <v>120</v>
      </c>
      <c r="H40" s="20" t="n">
        <f aca="false">G40*I40</f>
        <v>240</v>
      </c>
      <c r="I40" s="21" t="n">
        <v>2</v>
      </c>
      <c r="J40" s="21" t="n">
        <v>204</v>
      </c>
      <c r="K40" s="20" t="n">
        <f aca="false">J40/H40*100</f>
        <v>85</v>
      </c>
      <c r="L40" s="20" t="n">
        <v>10</v>
      </c>
      <c r="M40" s="59" t="s">
        <v>148</v>
      </c>
      <c r="N40" s="19" t="n">
        <v>1</v>
      </c>
      <c r="O40" s="19" t="n">
        <v>3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90</v>
      </c>
      <c r="E41" s="55" t="s">
        <v>46</v>
      </c>
      <c r="F41" s="19" t="n">
        <f aca="false">60/30*8*60</f>
        <v>960</v>
      </c>
      <c r="G41" s="20" t="n">
        <f aca="false">F41/8</f>
        <v>120</v>
      </c>
      <c r="H41" s="20" t="n">
        <f aca="false">G41*I41</f>
        <v>180</v>
      </c>
      <c r="I41" s="21" t="n">
        <v>1.5</v>
      </c>
      <c r="J41" s="21" t="n">
        <v>162</v>
      </c>
      <c r="K41" s="20" t="n">
        <f aca="false">J41/H41*100</f>
        <v>90</v>
      </c>
      <c r="L41" s="22"/>
      <c r="M41" s="23"/>
      <c r="N41" s="19" t="n">
        <v>1</v>
      </c>
      <c r="O41" s="19" t="n">
        <v>3</v>
      </c>
      <c r="P41" s="61"/>
    </row>
    <row r="42" customFormat="false" ht="15" hidden="false" customHeight="false" outlineLevel="0" collapsed="false">
      <c r="B42" s="45"/>
      <c r="C42" s="60"/>
      <c r="D42" s="54" t="s">
        <v>45</v>
      </c>
      <c r="E42" s="55" t="s">
        <v>165</v>
      </c>
      <c r="F42" s="19" t="n">
        <f aca="false">60/40*8*60</f>
        <v>720</v>
      </c>
      <c r="G42" s="20" t="n">
        <f aca="false">F42/8</f>
        <v>90</v>
      </c>
      <c r="H42" s="20" t="n">
        <f aca="false">G42*I42</f>
        <v>180</v>
      </c>
      <c r="I42" s="21" t="n">
        <v>2</v>
      </c>
      <c r="J42" s="21" t="n">
        <f aca="false">60+30+64</f>
        <v>154</v>
      </c>
      <c r="K42" s="20" t="n">
        <f aca="false">J42/H42*100</f>
        <v>85.5555555555556</v>
      </c>
      <c r="L42" s="22"/>
      <c r="M42" s="23"/>
      <c r="N42" s="19" t="n">
        <v>1</v>
      </c>
      <c r="O42" s="19" t="n">
        <v>3</v>
      </c>
      <c r="P42" s="61"/>
    </row>
    <row r="43" customFormat="false" ht="15" hidden="false" customHeight="false" outlineLevel="0" collapsed="false">
      <c r="B43" s="45"/>
      <c r="C43" s="60"/>
      <c r="D43" s="54" t="s">
        <v>49</v>
      </c>
      <c r="E43" s="55" t="s">
        <v>72</v>
      </c>
      <c r="F43" s="19" t="n">
        <f aca="false">60/18*8*60</f>
        <v>1600</v>
      </c>
      <c r="G43" s="20" t="n">
        <f aca="false">F43/8</f>
        <v>200</v>
      </c>
      <c r="H43" s="20" t="n">
        <f aca="false">G43*I43</f>
        <v>700</v>
      </c>
      <c r="I43" s="21" t="n">
        <v>3.5</v>
      </c>
      <c r="J43" s="21" t="n">
        <v>600</v>
      </c>
      <c r="K43" s="20" t="n">
        <f aca="false">J43/H43*100</f>
        <v>85.7142857142857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 t="s">
        <v>154</v>
      </c>
      <c r="E44" s="62" t="s">
        <v>166</v>
      </c>
      <c r="F44" s="19" t="n">
        <f aca="false">60/18*8*60</f>
        <v>1600</v>
      </c>
      <c r="G44" s="20" t="n">
        <f aca="false">F44/8</f>
        <v>200</v>
      </c>
      <c r="H44" s="20" t="n">
        <f aca="false">G44*I44</f>
        <v>700</v>
      </c>
      <c r="I44" s="21" t="n">
        <v>3.5</v>
      </c>
      <c r="J44" s="21" t="n">
        <v>600</v>
      </c>
      <c r="K44" s="20" t="n">
        <f aca="false">J44/H44*100</f>
        <v>85.7142857142857</v>
      </c>
      <c r="L44" s="22"/>
      <c r="M44" s="23"/>
      <c r="N44" s="19" t="n">
        <v>1</v>
      </c>
      <c r="O44" s="19" t="n">
        <v>1</v>
      </c>
      <c r="P44" s="61"/>
    </row>
    <row r="45" customFormat="false" ht="15" hidden="false" customHeight="false" outlineLevel="0" collapsed="false">
      <c r="B45" s="45"/>
      <c r="C45" s="60"/>
      <c r="D45" s="21" t="s">
        <v>34</v>
      </c>
      <c r="E45" s="36" t="s">
        <v>111</v>
      </c>
      <c r="F45" s="19" t="n">
        <f aca="false">60/18*8*60</f>
        <v>1600</v>
      </c>
      <c r="G45" s="20" t="n">
        <f aca="false">F45/8</f>
        <v>200</v>
      </c>
      <c r="H45" s="20" t="n">
        <f aca="false">G45*I45</f>
        <v>700</v>
      </c>
      <c r="I45" s="21" t="n">
        <v>3.5</v>
      </c>
      <c r="J45" s="21" t="n">
        <v>600</v>
      </c>
      <c r="K45" s="20" t="n">
        <f aca="false">J45/H45*100</f>
        <v>85.7142857142857</v>
      </c>
      <c r="L45" s="20"/>
      <c r="M45" s="25"/>
      <c r="N45" s="20" t="n">
        <v>1</v>
      </c>
      <c r="O45" s="20" t="n">
        <v>0</v>
      </c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2700</v>
      </c>
      <c r="I47" s="63"/>
      <c r="J47" s="41" t="n">
        <f aca="false">SUM(J40:J46)</f>
        <v>2320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109</v>
      </c>
      <c r="E48" s="55" t="s">
        <v>164</v>
      </c>
      <c r="F48" s="19" t="n">
        <f aca="false">60/30*8*60</f>
        <v>960</v>
      </c>
      <c r="G48" s="20" t="n">
        <f aca="false">F48/8</f>
        <v>120</v>
      </c>
      <c r="H48" s="20" t="n">
        <f aca="false">G48*I48</f>
        <v>120</v>
      </c>
      <c r="I48" s="21" t="n">
        <v>1</v>
      </c>
      <c r="J48" s="21" t="n">
        <v>102</v>
      </c>
      <c r="K48" s="20" t="n">
        <f aca="false">J48/H48*100</f>
        <v>85</v>
      </c>
      <c r="L48" s="20"/>
      <c r="M48" s="25"/>
      <c r="N48" s="19" t="n">
        <v>1</v>
      </c>
      <c r="O48" s="19" t="n">
        <v>3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28</v>
      </c>
      <c r="E49" s="55" t="s">
        <v>166</v>
      </c>
      <c r="F49" s="19" t="n">
        <f aca="false">60/12*8*60</f>
        <v>2400</v>
      </c>
      <c r="G49" s="20" t="n">
        <f aca="false">F49/8</f>
        <v>300</v>
      </c>
      <c r="H49" s="20" t="n">
        <f aca="false">G49*I49</f>
        <v>750</v>
      </c>
      <c r="I49" s="21" t="n">
        <v>2.5</v>
      </c>
      <c r="J49" s="21" t="n">
        <v>600</v>
      </c>
      <c r="K49" s="20" t="n">
        <f aca="false">J49/H49*100</f>
        <v>80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153</v>
      </c>
      <c r="E50" s="55" t="s">
        <v>166</v>
      </c>
      <c r="F50" s="19" t="n">
        <f aca="false">60/15*8*60</f>
        <v>1920</v>
      </c>
      <c r="G50" s="20" t="n">
        <f aca="false">F50/8</f>
        <v>240</v>
      </c>
      <c r="H50" s="20" t="n">
        <f aca="false">G50*I50</f>
        <v>720</v>
      </c>
      <c r="I50" s="21" t="n">
        <v>3</v>
      </c>
      <c r="J50" s="21" t="n">
        <v>600</v>
      </c>
      <c r="K50" s="20" t="n">
        <f aca="false">J50/H50*100</f>
        <v>83.3333333333333</v>
      </c>
      <c r="L50" s="22"/>
      <c r="M50" s="23"/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 t="s">
        <v>21</v>
      </c>
      <c r="E51" s="55" t="s">
        <v>167</v>
      </c>
      <c r="F51" s="19" t="n">
        <f aca="false">60/50*8*60</f>
        <v>576</v>
      </c>
      <c r="G51" s="20" t="n">
        <f aca="false">F51/8</f>
        <v>72</v>
      </c>
      <c r="H51" s="20" t="n">
        <f aca="false">G51*I51</f>
        <v>72</v>
      </c>
      <c r="I51" s="21" t="n">
        <v>1</v>
      </c>
      <c r="J51" s="21" t="n">
        <v>60</v>
      </c>
      <c r="K51" s="20" t="n">
        <f aca="false">J51/H51*100</f>
        <v>83.3333333333333</v>
      </c>
      <c r="L51" s="22"/>
      <c r="M51" s="83"/>
      <c r="N51" s="19" t="n">
        <v>1</v>
      </c>
      <c r="O51" s="19" t="n">
        <v>2</v>
      </c>
      <c r="P51" s="61"/>
    </row>
    <row r="52" customFormat="false" ht="15" hidden="false" customHeight="false" outlineLevel="0" collapsed="false">
      <c r="B52" s="45"/>
      <c r="C52" s="64"/>
      <c r="D52" s="54" t="s">
        <v>45</v>
      </c>
      <c r="E52" s="55" t="s">
        <v>128</v>
      </c>
      <c r="F52" s="19" t="n">
        <f aca="false">60/25*8*60</f>
        <v>1152</v>
      </c>
      <c r="G52" s="20" t="n">
        <f aca="false">F52/8</f>
        <v>144</v>
      </c>
      <c r="H52" s="20" t="n">
        <f aca="false">G52*I52</f>
        <v>72</v>
      </c>
      <c r="I52" s="21" t="n">
        <v>0.5</v>
      </c>
      <c r="J52" s="21" t="n">
        <v>60</v>
      </c>
      <c r="K52" s="20" t="n">
        <f aca="false">J52/H52*100</f>
        <v>83.3333333333333</v>
      </c>
      <c r="L52" s="20"/>
      <c r="M52" s="25"/>
      <c r="N52" s="19" t="n">
        <v>1</v>
      </c>
      <c r="O52" s="19" t="n">
        <v>3</v>
      </c>
      <c r="P52" s="61"/>
    </row>
    <row r="53" customFormat="false" ht="15" hidden="false" customHeight="false" outlineLevel="0" collapsed="false">
      <c r="B53" s="45"/>
      <c r="C53" s="64"/>
      <c r="D53" s="54" t="s">
        <v>45</v>
      </c>
      <c r="E53" s="55" t="s">
        <v>46</v>
      </c>
      <c r="F53" s="19" t="n">
        <f aca="false">60/25*8*60</f>
        <v>1152</v>
      </c>
      <c r="G53" s="20" t="n">
        <f aca="false">F53/8</f>
        <v>144</v>
      </c>
      <c r="H53" s="20" t="n">
        <f aca="false">G53*I53</f>
        <v>72</v>
      </c>
      <c r="I53" s="21" t="n">
        <v>0.5</v>
      </c>
      <c r="J53" s="21" t="n">
        <v>64</v>
      </c>
      <c r="K53" s="20" t="n">
        <f aca="false">J53/H53*100</f>
        <v>88.8888888888889</v>
      </c>
      <c r="L53" s="22"/>
      <c r="M53" s="23"/>
      <c r="N53" s="19" t="n">
        <v>1</v>
      </c>
      <c r="O53" s="19" t="n">
        <v>3</v>
      </c>
      <c r="P53" s="61"/>
    </row>
    <row r="54" customFormat="false" ht="15" hidden="false" customHeight="false" outlineLevel="0" collapsed="false">
      <c r="B54" s="45"/>
      <c r="C54" s="64"/>
      <c r="D54" s="54" t="s">
        <v>34</v>
      </c>
      <c r="E54" s="55" t="s">
        <v>166</v>
      </c>
      <c r="F54" s="19" t="n">
        <f aca="false">60/15*8*60</f>
        <v>1920</v>
      </c>
      <c r="G54" s="20" t="n">
        <f aca="false">F54/8</f>
        <v>240</v>
      </c>
      <c r="H54" s="20" t="n">
        <f aca="false">G54*I54</f>
        <v>360</v>
      </c>
      <c r="I54" s="21" t="n">
        <v>1.5</v>
      </c>
      <c r="J54" s="21" t="n">
        <v>300</v>
      </c>
      <c r="K54" s="20" t="n">
        <f aca="false">J54/H54*100</f>
        <v>83.3333333333333</v>
      </c>
      <c r="L54" s="22"/>
      <c r="M54" s="23"/>
      <c r="N54" s="65" t="n">
        <v>1</v>
      </c>
      <c r="O54" s="65" t="n">
        <v>0</v>
      </c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2166</v>
      </c>
      <c r="I55" s="42"/>
      <c r="J55" s="41" t="n">
        <f aca="false">SUM(J48:J54)</f>
        <v>1786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 t="s">
        <v>117</v>
      </c>
      <c r="E59" s="39" t="s">
        <v>165</v>
      </c>
      <c r="F59" s="19" t="n">
        <f aca="false">60/30*8*60</f>
        <v>960</v>
      </c>
      <c r="G59" s="20" t="n">
        <f aca="false">F59/8</f>
        <v>120</v>
      </c>
      <c r="H59" s="20" t="n">
        <f aca="false">G59*I59</f>
        <v>540</v>
      </c>
      <c r="I59" s="21" t="n">
        <v>4.5</v>
      </c>
      <c r="J59" s="21" t="n">
        <f aca="false">204+110+162</f>
        <v>476</v>
      </c>
      <c r="K59" s="20" t="n">
        <f aca="false">J59/H59*100</f>
        <v>88.1481481481482</v>
      </c>
      <c r="L59" s="20"/>
      <c r="M59" s="25"/>
      <c r="N59" s="19" t="n">
        <v>1</v>
      </c>
      <c r="O59" s="19" t="n">
        <v>3</v>
      </c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476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72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360</v>
      </c>
      <c r="I62" s="72" t="n">
        <v>2</v>
      </c>
      <c r="J62" s="72" t="n">
        <v>300</v>
      </c>
      <c r="K62" s="19" t="n">
        <f aca="false">J62/H62*100</f>
        <v>83.3333333333333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168</v>
      </c>
      <c r="F63" s="19" t="n">
        <f aca="false">60/20*8*60</f>
        <v>1440</v>
      </c>
      <c r="G63" s="19" t="n">
        <f aca="false">F63/8</f>
        <v>180</v>
      </c>
      <c r="H63" s="19" t="n">
        <f aca="false">G63*I63</f>
        <v>450</v>
      </c>
      <c r="I63" s="72" t="n">
        <v>2.5</v>
      </c>
      <c r="J63" s="72" t="n">
        <f aca="false">350+50</f>
        <v>400</v>
      </c>
      <c r="K63" s="19" t="n">
        <f aca="false">J63/H63*100</f>
        <v>88.8888888888889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 t="s">
        <v>67</v>
      </c>
      <c r="E64" s="19" t="s">
        <v>35</v>
      </c>
      <c r="F64" s="19" t="n">
        <f aca="false">60/20*8*60</f>
        <v>1440</v>
      </c>
      <c r="G64" s="19" t="n">
        <f aca="false">F64/8</f>
        <v>180</v>
      </c>
      <c r="H64" s="19" t="n">
        <f aca="false">G64*I64</f>
        <v>360</v>
      </c>
      <c r="I64" s="72" t="n">
        <v>2</v>
      </c>
      <c r="J64" s="72" t="n">
        <f aca="false">90*3</f>
        <v>270</v>
      </c>
      <c r="K64" s="19" t="n">
        <f aca="false">J64/H64*100</f>
        <v>75</v>
      </c>
      <c r="L64" s="19"/>
      <c r="M64" s="68"/>
      <c r="N64" s="19" t="n">
        <v>1</v>
      </c>
      <c r="O64" s="19" t="n">
        <v>1</v>
      </c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1170</v>
      </c>
      <c r="I65" s="30"/>
      <c r="J65" s="29" t="n">
        <f aca="false">SUM(J62:J64)</f>
        <v>970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85" t="s">
        <v>34</v>
      </c>
      <c r="E66" s="86" t="s">
        <v>42</v>
      </c>
      <c r="F66" s="19" t="n">
        <f aca="false">60/30*8*60</f>
        <v>960</v>
      </c>
      <c r="G66" s="19" t="n">
        <f aca="false">F66/8</f>
        <v>120</v>
      </c>
      <c r="H66" s="20" t="n">
        <f aca="false">G66*I66</f>
        <v>60</v>
      </c>
      <c r="I66" s="21" t="n">
        <v>0.5</v>
      </c>
      <c r="J66" s="21" t="n">
        <v>50</v>
      </c>
      <c r="K66" s="20" t="n">
        <f aca="false">J66/H66*100</f>
        <v>83.3333333333333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54" t="s">
        <v>21</v>
      </c>
      <c r="E67" s="55" t="s">
        <v>132</v>
      </c>
      <c r="F67" s="19" t="n">
        <f aca="false">60/20*8*60</f>
        <v>1440</v>
      </c>
      <c r="G67" s="19" t="n">
        <f aca="false">F67/8</f>
        <v>180</v>
      </c>
      <c r="H67" s="20" t="n">
        <f aca="false">G67*I67</f>
        <v>720</v>
      </c>
      <c r="I67" s="21" t="n">
        <v>4</v>
      </c>
      <c r="J67" s="21" t="n">
        <v>600</v>
      </c>
      <c r="K67" s="20" t="n">
        <f aca="false">J67/H67*100</f>
        <v>83.3333333333333</v>
      </c>
      <c r="L67" s="20"/>
      <c r="M67" s="25"/>
      <c r="N67" s="20"/>
      <c r="O67" s="20"/>
      <c r="P67" s="58"/>
    </row>
    <row r="68" customFormat="false" ht="15" hidden="false" customHeight="false" outlineLevel="0" collapsed="false">
      <c r="B68" s="15"/>
      <c r="C68" s="37"/>
      <c r="D68" s="54" t="s">
        <v>154</v>
      </c>
      <c r="E68" s="55" t="s">
        <v>143</v>
      </c>
      <c r="F68" s="19" t="n">
        <f aca="false">60/20*8*60</f>
        <v>1440</v>
      </c>
      <c r="G68" s="19" t="n">
        <f aca="false">F68/8</f>
        <v>180</v>
      </c>
      <c r="H68" s="20" t="n">
        <f aca="false">G68*I68</f>
        <v>810</v>
      </c>
      <c r="I68" s="21" t="n">
        <v>4.5</v>
      </c>
      <c r="J68" s="21" t="n">
        <v>700</v>
      </c>
      <c r="K68" s="20" t="n">
        <f aca="false">J68/H68*100</f>
        <v>86.4197530864197</v>
      </c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67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1590</v>
      </c>
      <c r="I70" s="75"/>
      <c r="J70" s="41" t="n">
        <f aca="false">SUM(J66:J69)</f>
        <v>1350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15191</v>
      </c>
      <c r="I71" s="79" t="s">
        <v>25</v>
      </c>
      <c r="J71" s="78" t="n">
        <f aca="false">J9+J12+J15+J18+J30+J39+J47+J55+J58+J61+J65+J70+J21</f>
        <v>13230</v>
      </c>
      <c r="K71" s="80" t="n">
        <f aca="false">J71/H71</f>
        <v>0.870910407478112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M9" activeCellId="0" sqref="M9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169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170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171</v>
      </c>
      <c r="E6" s="18" t="s">
        <v>157</v>
      </c>
      <c r="F6" s="20" t="n">
        <f aca="false">60/120*8*60</f>
        <v>240</v>
      </c>
      <c r="G6" s="20" t="n">
        <f aca="false">F6/8</f>
        <v>30</v>
      </c>
      <c r="H6" s="20" t="n">
        <f aca="false">G6*I6</f>
        <v>45</v>
      </c>
      <c r="I6" s="21" t="n">
        <v>1.5</v>
      </c>
      <c r="J6" s="21" t="n">
        <v>40</v>
      </c>
      <c r="K6" s="20" t="n">
        <f aca="false">J6/H6*100</f>
        <v>88.8888888888889</v>
      </c>
      <c r="L6" s="20"/>
      <c r="M6" s="25"/>
      <c r="N6" s="19" t="n">
        <v>1</v>
      </c>
      <c r="O6" s="19" t="n">
        <v>1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20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45</v>
      </c>
      <c r="I9" s="30"/>
      <c r="J9" s="29" t="n">
        <f aca="false">SUM(J6:J8)</f>
        <v>40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600</v>
      </c>
      <c r="I13" s="21" t="n">
        <v>5</v>
      </c>
      <c r="J13" s="21" t="n">
        <v>500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600</v>
      </c>
      <c r="I15" s="42"/>
      <c r="J15" s="41" t="n">
        <f aca="false">SUM(J13:J14)</f>
        <v>500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54" t="s">
        <v>34</v>
      </c>
      <c r="E19" s="55" t="s">
        <v>35</v>
      </c>
      <c r="F19" s="19" t="n">
        <f aca="false">60/30*8*60</f>
        <v>960</v>
      </c>
      <c r="G19" s="20" t="n">
        <f aca="false">F19/8</f>
        <v>120</v>
      </c>
      <c r="H19" s="20" t="n">
        <f aca="false">G19*I19</f>
        <v>360</v>
      </c>
      <c r="I19" s="21" t="n">
        <v>3</v>
      </c>
      <c r="J19" s="21" t="n">
        <v>280</v>
      </c>
      <c r="K19" s="20" t="n">
        <f aca="false">J19/H19*100</f>
        <v>77.7777777777778</v>
      </c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54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360</v>
      </c>
      <c r="I21" s="30"/>
      <c r="J21" s="29" t="n">
        <f aca="false">SUM(J19:J20)</f>
        <v>280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172</v>
      </c>
      <c r="E22" s="54" t="s">
        <v>173</v>
      </c>
      <c r="F22" s="20" t="n">
        <f aca="false">60/30*8*60</f>
        <v>960</v>
      </c>
      <c r="G22" s="20" t="n">
        <f aca="false">F22/8</f>
        <v>120</v>
      </c>
      <c r="H22" s="20" t="n">
        <f aca="false">G22*I22</f>
        <v>420</v>
      </c>
      <c r="I22" s="21" t="n">
        <v>3.5</v>
      </c>
      <c r="J22" s="21" t="n">
        <f aca="false">140+206</f>
        <v>346</v>
      </c>
      <c r="K22" s="20" t="n">
        <f aca="false">J22/H22*100</f>
        <v>82.3809523809524</v>
      </c>
      <c r="L22" s="22"/>
      <c r="M22" s="83"/>
      <c r="N22" s="19" t="n">
        <v>1</v>
      </c>
      <c r="O22" s="19" t="n">
        <v>3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99</v>
      </c>
      <c r="E23" s="55" t="s">
        <v>35</v>
      </c>
      <c r="F23" s="19" t="n">
        <f aca="false">60/20*8*60</f>
        <v>1440</v>
      </c>
      <c r="G23" s="20" t="n">
        <f aca="false">F23/8</f>
        <v>180</v>
      </c>
      <c r="H23" s="20" t="n">
        <f aca="false">G23*I23</f>
        <v>360</v>
      </c>
      <c r="I23" s="21" t="n">
        <v>2</v>
      </c>
      <c r="J23" s="21" t="n">
        <v>280</v>
      </c>
      <c r="K23" s="20" t="n">
        <f aca="false">J23/H23*100</f>
        <v>77.7777777777778</v>
      </c>
      <c r="L23" s="22"/>
      <c r="M23" s="23"/>
      <c r="N23" s="19" t="n">
        <v>1</v>
      </c>
      <c r="O23" s="19" t="n">
        <v>0</v>
      </c>
      <c r="P23" s="56"/>
    </row>
    <row r="24" customFormat="false" ht="22.5" hidden="false" customHeight="false" outlineLevel="0" collapsed="false">
      <c r="B24" s="50"/>
      <c r="C24" s="53"/>
      <c r="D24" s="54" t="s">
        <v>34</v>
      </c>
      <c r="E24" s="55" t="s">
        <v>124</v>
      </c>
      <c r="F24" s="19" t="n">
        <f aca="false">60/20*8*60</f>
        <v>1440</v>
      </c>
      <c r="G24" s="20" t="n">
        <f aca="false">F24/8</f>
        <v>180</v>
      </c>
      <c r="H24" s="20" t="n">
        <f aca="false">G24*I24</f>
        <v>180</v>
      </c>
      <c r="I24" s="21" t="n">
        <v>1</v>
      </c>
      <c r="J24" s="21" t="n">
        <v>132</v>
      </c>
      <c r="K24" s="20" t="n">
        <f aca="false">J24/H24*100</f>
        <v>73.3333333333333</v>
      </c>
      <c r="L24" s="22" t="n">
        <v>10</v>
      </c>
      <c r="M24" s="38" t="s">
        <v>148</v>
      </c>
      <c r="N24" s="19" t="n">
        <v>1</v>
      </c>
      <c r="O24" s="19" t="n">
        <v>1</v>
      </c>
      <c r="P24" s="56"/>
    </row>
    <row r="25" customFormat="false" ht="15" hidden="false" customHeight="false" outlineLevel="0" collapsed="false">
      <c r="B25" s="50"/>
      <c r="C25" s="53"/>
      <c r="D25" s="54" t="s">
        <v>45</v>
      </c>
      <c r="E25" s="55" t="s">
        <v>174</v>
      </c>
      <c r="F25" s="19" t="n">
        <f aca="false">60/40*8*60</f>
        <v>720</v>
      </c>
      <c r="G25" s="20" t="n">
        <f aca="false">F25/8</f>
        <v>90</v>
      </c>
      <c r="H25" s="20" t="n">
        <f aca="false">G25*I25</f>
        <v>90</v>
      </c>
      <c r="I25" s="21" t="n">
        <v>1</v>
      </c>
      <c r="J25" s="21" t="n">
        <f aca="false">24+30</f>
        <v>54</v>
      </c>
      <c r="K25" s="20" t="n">
        <f aca="false">J25/H25*100</f>
        <v>60</v>
      </c>
      <c r="L25" s="22"/>
      <c r="M25" s="83"/>
      <c r="N25" s="19" t="n">
        <v>1</v>
      </c>
      <c r="O25" s="19" t="n">
        <v>3</v>
      </c>
      <c r="P25" s="56"/>
    </row>
    <row r="26" customFormat="false" ht="15" hidden="false" customHeight="false" outlineLevel="0" collapsed="false">
      <c r="B26" s="50"/>
      <c r="C26" s="53"/>
      <c r="D26" s="54" t="s">
        <v>175</v>
      </c>
      <c r="E26" s="55" t="s">
        <v>176</v>
      </c>
      <c r="F26" s="19" t="n">
        <f aca="false">60/18*8*60</f>
        <v>1600</v>
      </c>
      <c r="G26" s="20" t="n">
        <f aca="false">F26/8</f>
        <v>200</v>
      </c>
      <c r="H26" s="20" t="n">
        <f aca="false">G26*I26</f>
        <v>700</v>
      </c>
      <c r="I26" s="21" t="n">
        <v>3.5</v>
      </c>
      <c r="J26" s="21" t="n">
        <v>600</v>
      </c>
      <c r="K26" s="20" t="n">
        <f aca="false">J26/H26*100</f>
        <v>85.7142857142857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 t="s">
        <v>43</v>
      </c>
      <c r="E27" s="55" t="s">
        <v>177</v>
      </c>
      <c r="F27" s="19" t="n">
        <f aca="false">60/18*8*60</f>
        <v>1600</v>
      </c>
      <c r="G27" s="20" t="n">
        <f aca="false">F27/8</f>
        <v>200</v>
      </c>
      <c r="H27" s="20" t="n">
        <f aca="false">G27*I27</f>
        <v>700</v>
      </c>
      <c r="I27" s="21" t="n">
        <v>3.5</v>
      </c>
      <c r="J27" s="21" t="n">
        <v>600</v>
      </c>
      <c r="K27" s="20" t="n">
        <f aca="false">J27/H27*100</f>
        <v>85.7142857142857</v>
      </c>
      <c r="L27" s="22"/>
      <c r="M27" s="23"/>
      <c r="N27" s="19" t="n">
        <v>1</v>
      </c>
      <c r="O27" s="19" t="n">
        <v>1</v>
      </c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2450</v>
      </c>
      <c r="I30" s="30"/>
      <c r="J30" s="29" t="n">
        <f aca="false">SUM(J22:J29)</f>
        <v>2012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47</v>
      </c>
      <c r="E31" s="55" t="s">
        <v>72</v>
      </c>
      <c r="F31" s="20" t="n">
        <f aca="false">60/20*8*60</f>
        <v>1440</v>
      </c>
      <c r="G31" s="20" t="n">
        <f aca="false">F31/8</f>
        <v>180</v>
      </c>
      <c r="H31" s="20" t="n">
        <f aca="false">G31*I31</f>
        <v>360</v>
      </c>
      <c r="I31" s="21" t="n">
        <v>2</v>
      </c>
      <c r="J31" s="21" t="n">
        <v>300</v>
      </c>
      <c r="K31" s="20" t="n">
        <f aca="false">J31/H31*100</f>
        <v>83.3333333333333</v>
      </c>
      <c r="L31" s="20"/>
      <c r="M31" s="25"/>
      <c r="N31" s="20" t="n">
        <v>1</v>
      </c>
      <c r="O31" s="20" t="n">
        <v>1</v>
      </c>
      <c r="P31" s="58" t="s">
        <v>44</v>
      </c>
    </row>
    <row r="32" customFormat="false" ht="22.5" hidden="false" customHeight="false" outlineLevel="0" collapsed="false">
      <c r="B32" s="15"/>
      <c r="C32" s="16"/>
      <c r="D32" s="54" t="s">
        <v>100</v>
      </c>
      <c r="E32" s="55" t="s">
        <v>35</v>
      </c>
      <c r="F32" s="20" t="n">
        <f aca="false">60/20*8*60</f>
        <v>1440</v>
      </c>
      <c r="G32" s="20" t="n">
        <f aca="false">F32/8</f>
        <v>180</v>
      </c>
      <c r="H32" s="20" t="n">
        <f aca="false">G32*I32</f>
        <v>360</v>
      </c>
      <c r="I32" s="21" t="n">
        <v>2</v>
      </c>
      <c r="J32" s="21" t="n">
        <v>280</v>
      </c>
      <c r="K32" s="20" t="n">
        <f aca="false">J32/H32*100</f>
        <v>77.7777777777778</v>
      </c>
      <c r="L32" s="20" t="n">
        <v>20</v>
      </c>
      <c r="M32" s="84" t="s">
        <v>148</v>
      </c>
      <c r="N32" s="19" t="n">
        <v>1</v>
      </c>
      <c r="O32" s="19" t="n">
        <v>0</v>
      </c>
      <c r="P32" s="58"/>
    </row>
    <row r="33" customFormat="false" ht="15" hidden="false" customHeight="false" outlineLevel="0" collapsed="false">
      <c r="B33" s="15"/>
      <c r="C33" s="16"/>
      <c r="D33" s="54" t="s">
        <v>47</v>
      </c>
      <c r="E33" s="55" t="s">
        <v>112</v>
      </c>
      <c r="F33" s="20" t="n">
        <f aca="false">60/20*8*60</f>
        <v>1440</v>
      </c>
      <c r="G33" s="20" t="n">
        <f aca="false">F33/8</f>
        <v>180</v>
      </c>
      <c r="H33" s="20" t="n">
        <f aca="false">G33*I33</f>
        <v>630</v>
      </c>
      <c r="I33" s="21" t="n">
        <v>3.5</v>
      </c>
      <c r="J33" s="21" t="n">
        <v>564</v>
      </c>
      <c r="K33" s="20" t="n">
        <f aca="false">J33/H33*100</f>
        <v>89.5238095238095</v>
      </c>
      <c r="L33" s="20"/>
      <c r="M33" s="84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178</v>
      </c>
      <c r="E34" s="55" t="s">
        <v>112</v>
      </c>
      <c r="F34" s="20" t="n">
        <f aca="false">60/20*8*60</f>
        <v>1440</v>
      </c>
      <c r="G34" s="20" t="n">
        <f aca="false">F34/8</f>
        <v>180</v>
      </c>
      <c r="H34" s="20" t="n">
        <f aca="false">G34*I34</f>
        <v>360</v>
      </c>
      <c r="I34" s="21" t="n">
        <v>2</v>
      </c>
      <c r="J34" s="21" t="n">
        <v>282</v>
      </c>
      <c r="K34" s="20" t="n">
        <f aca="false">J34/H34*100</f>
        <v>78.3333333333333</v>
      </c>
      <c r="L34" s="20"/>
      <c r="M34" s="84"/>
      <c r="N34" s="20" t="n">
        <v>1</v>
      </c>
      <c r="O34" s="20" t="n">
        <v>1</v>
      </c>
      <c r="P34" s="58"/>
    </row>
    <row r="35" customFormat="false" ht="15" hidden="false" customHeight="false" outlineLevel="0" collapsed="false">
      <c r="B35" s="15"/>
      <c r="C35" s="16"/>
      <c r="D35" s="54" t="s">
        <v>28</v>
      </c>
      <c r="E35" s="55" t="s">
        <v>179</v>
      </c>
      <c r="F35" s="20" t="n">
        <f aca="false">60/20*8*60</f>
        <v>1440</v>
      </c>
      <c r="G35" s="20" t="n">
        <f aca="false">F35/8</f>
        <v>180</v>
      </c>
      <c r="H35" s="20" t="n">
        <f aca="false">G35*I35</f>
        <v>270</v>
      </c>
      <c r="I35" s="21" t="n">
        <v>1.5</v>
      </c>
      <c r="J35" s="21" t="n">
        <v>200</v>
      </c>
      <c r="K35" s="20" t="n">
        <f aca="false">J35/H35*100</f>
        <v>74.0740740740741</v>
      </c>
      <c r="L35" s="22"/>
      <c r="M35" s="23"/>
      <c r="N35" s="19" t="n">
        <v>1</v>
      </c>
      <c r="O35" s="19" t="n">
        <v>2</v>
      </c>
      <c r="P35" s="58"/>
    </row>
    <row r="36" customFormat="false" ht="15" hidden="false" customHeight="false" outlineLevel="0" collapsed="false">
      <c r="B36" s="15"/>
      <c r="C36" s="16"/>
      <c r="D36" s="54" t="s">
        <v>34</v>
      </c>
      <c r="E36" s="55" t="s">
        <v>149</v>
      </c>
      <c r="F36" s="20" t="n">
        <f aca="false">60/16*8*60</f>
        <v>1800</v>
      </c>
      <c r="G36" s="20" t="n">
        <f aca="false">F36/8</f>
        <v>225</v>
      </c>
      <c r="H36" s="20" t="n">
        <f aca="false">G36*I36</f>
        <v>562.5</v>
      </c>
      <c r="I36" s="21" t="n">
        <v>2.5</v>
      </c>
      <c r="J36" s="21" t="n">
        <v>500</v>
      </c>
      <c r="K36" s="20" t="n">
        <f aca="false">J36/H36*100</f>
        <v>88.8888888888889</v>
      </c>
      <c r="L36" s="22"/>
      <c r="M36" s="23"/>
      <c r="N36" s="19" t="n">
        <v>1</v>
      </c>
      <c r="O36" s="19" t="n">
        <v>0</v>
      </c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2542.5</v>
      </c>
      <c r="I39" s="42"/>
      <c r="J39" s="49" t="n">
        <f aca="false">SUM(J31:J38)</f>
        <v>2126</v>
      </c>
      <c r="K39" s="43"/>
      <c r="L39" s="43"/>
      <c r="M39" s="44"/>
      <c r="N39" s="43"/>
      <c r="O39" s="43"/>
      <c r="P39" s="58"/>
    </row>
    <row r="40" customFormat="false" ht="22.5" hidden="false" customHeight="true" outlineLevel="0" collapsed="false">
      <c r="B40" s="45" t="n">
        <v>7</v>
      </c>
      <c r="C40" s="60" t="s">
        <v>51</v>
      </c>
      <c r="D40" s="54" t="s">
        <v>28</v>
      </c>
      <c r="E40" s="55" t="s">
        <v>180</v>
      </c>
      <c r="F40" s="19" t="n">
        <f aca="false">60/20*8*60</f>
        <v>1440</v>
      </c>
      <c r="G40" s="20" t="n">
        <f aca="false">F40/8</f>
        <v>180</v>
      </c>
      <c r="H40" s="20" t="n">
        <f aca="false">G40*I40</f>
        <v>270</v>
      </c>
      <c r="I40" s="21" t="n">
        <v>1.5</v>
      </c>
      <c r="J40" s="21" t="n">
        <v>238</v>
      </c>
      <c r="K40" s="20" t="n">
        <f aca="false">J40/H40*100</f>
        <v>88.1481481481482</v>
      </c>
      <c r="L40" s="20" t="n">
        <v>10</v>
      </c>
      <c r="M40" s="59" t="s">
        <v>148</v>
      </c>
      <c r="N40" s="19" t="n">
        <v>1</v>
      </c>
      <c r="O40" s="19" t="n">
        <v>2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153</v>
      </c>
      <c r="E41" s="55" t="s">
        <v>180</v>
      </c>
      <c r="F41" s="19" t="n">
        <f aca="false">60/20*8*60</f>
        <v>1440</v>
      </c>
      <c r="G41" s="20" t="n">
        <f aca="false">F41/8</f>
        <v>180</v>
      </c>
      <c r="H41" s="20" t="n">
        <f aca="false">G41*I41</f>
        <v>270</v>
      </c>
      <c r="I41" s="21" t="n">
        <v>1.5</v>
      </c>
      <c r="J41" s="21" t="n">
        <v>238</v>
      </c>
      <c r="K41" s="20" t="n">
        <f aca="false">J41/H41*100</f>
        <v>88.1481481481482</v>
      </c>
      <c r="L41" s="22"/>
      <c r="M41" s="23"/>
      <c r="N41" s="19" t="n">
        <v>1</v>
      </c>
      <c r="O41" s="19" t="n">
        <v>0</v>
      </c>
      <c r="P41" s="61"/>
    </row>
    <row r="42" customFormat="false" ht="22.5" hidden="false" customHeight="false" outlineLevel="0" collapsed="false">
      <c r="B42" s="45"/>
      <c r="C42" s="60"/>
      <c r="D42" s="54" t="s">
        <v>28</v>
      </c>
      <c r="E42" s="55" t="s">
        <v>176</v>
      </c>
      <c r="F42" s="19" t="n">
        <f aca="false">60/15*8*60</f>
        <v>1920</v>
      </c>
      <c r="G42" s="20" t="n">
        <f aca="false">F42/8</f>
        <v>240</v>
      </c>
      <c r="H42" s="20" t="n">
        <f aca="false">G42*I42</f>
        <v>1080</v>
      </c>
      <c r="I42" s="21" t="n">
        <v>4.5</v>
      </c>
      <c r="J42" s="21" t="n">
        <v>1050</v>
      </c>
      <c r="K42" s="20" t="n">
        <f aca="false">J42/H42*100</f>
        <v>97.2222222222222</v>
      </c>
      <c r="L42" s="22" t="n">
        <v>10</v>
      </c>
      <c r="M42" s="59" t="s">
        <v>148</v>
      </c>
      <c r="N42" s="19" t="n">
        <v>1</v>
      </c>
      <c r="O42" s="19" t="n">
        <v>1</v>
      </c>
      <c r="P42" s="61"/>
    </row>
    <row r="43" customFormat="false" ht="15" hidden="false" customHeight="false" outlineLevel="0" collapsed="false">
      <c r="B43" s="45"/>
      <c r="C43" s="60"/>
      <c r="D43" s="54" t="s">
        <v>28</v>
      </c>
      <c r="E43" s="55" t="s">
        <v>176</v>
      </c>
      <c r="F43" s="19" t="n">
        <f aca="false">60/15*8*60</f>
        <v>1920</v>
      </c>
      <c r="G43" s="20" t="n">
        <f aca="false">F43/8</f>
        <v>240</v>
      </c>
      <c r="H43" s="20" t="n">
        <f aca="false">G43*I43</f>
        <v>720</v>
      </c>
      <c r="I43" s="21" t="n">
        <v>3</v>
      </c>
      <c r="J43" s="21" t="n">
        <v>628</v>
      </c>
      <c r="K43" s="20" t="n">
        <f aca="false">J43/H43*100</f>
        <v>87.2222222222222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 t="s">
        <v>21</v>
      </c>
      <c r="E44" s="62" t="s">
        <v>55</v>
      </c>
      <c r="F44" s="19" t="n">
        <f aca="false">60/20*8*60</f>
        <v>1440</v>
      </c>
      <c r="G44" s="20" t="n">
        <f aca="false">F44/8</f>
        <v>180</v>
      </c>
      <c r="H44" s="20" t="n">
        <f aca="false">G44*I44</f>
        <v>270</v>
      </c>
      <c r="I44" s="21" t="n">
        <v>1.5</v>
      </c>
      <c r="J44" s="21" t="n">
        <v>200</v>
      </c>
      <c r="K44" s="20" t="n">
        <f aca="false">J44/H44*100</f>
        <v>74.0740740740741</v>
      </c>
      <c r="L44" s="22"/>
      <c r="M44" s="23"/>
      <c r="N44" s="19" t="n">
        <v>1</v>
      </c>
      <c r="O44" s="19" t="n">
        <v>0</v>
      </c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19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2610</v>
      </c>
      <c r="I47" s="63"/>
      <c r="J47" s="41" t="n">
        <f aca="false">SUM(J40:J46)</f>
        <v>2354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34</v>
      </c>
      <c r="E48" s="55" t="s">
        <v>111</v>
      </c>
      <c r="F48" s="19" t="n">
        <f aca="false">60/12*8*60</f>
        <v>2400</v>
      </c>
      <c r="G48" s="20" t="n">
        <f aca="false">F48/8</f>
        <v>300</v>
      </c>
      <c r="H48" s="20" t="n">
        <f aca="false">G48*I48</f>
        <v>600</v>
      </c>
      <c r="I48" s="21" t="n">
        <v>2</v>
      </c>
      <c r="J48" s="21" t="n">
        <v>455</v>
      </c>
      <c r="K48" s="20" t="n">
        <f aca="false">J48/H48*100</f>
        <v>75.8333333333333</v>
      </c>
      <c r="L48" s="20"/>
      <c r="M48" s="25"/>
      <c r="N48" s="19" t="n">
        <v>1</v>
      </c>
      <c r="O48" s="19" t="n">
        <v>0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28</v>
      </c>
      <c r="E49" s="55" t="s">
        <v>55</v>
      </c>
      <c r="F49" s="19" t="n">
        <f aca="false">60/7*8*60</f>
        <v>4114.28571428571</v>
      </c>
      <c r="G49" s="20" t="n">
        <f aca="false">F49/8</f>
        <v>514.285714285714</v>
      </c>
      <c r="H49" s="20" t="n">
        <f aca="false">G49*I49</f>
        <v>2314.28571428571</v>
      </c>
      <c r="I49" s="21" t="n">
        <v>4.5</v>
      </c>
      <c r="J49" s="21" t="n">
        <v>2000</v>
      </c>
      <c r="K49" s="20" t="n">
        <f aca="false">J49/H49*100</f>
        <v>86.4197530864198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34</v>
      </c>
      <c r="E50" s="55" t="s">
        <v>181</v>
      </c>
      <c r="F50" s="19" t="n">
        <f aca="false">60/25*8*60</f>
        <v>1152</v>
      </c>
      <c r="G50" s="20" t="n">
        <f aca="false">F50/8</f>
        <v>144</v>
      </c>
      <c r="H50" s="20" t="n">
        <f aca="false">G50*I50</f>
        <v>144</v>
      </c>
      <c r="I50" s="21" t="n">
        <v>1</v>
      </c>
      <c r="J50" s="21" t="n">
        <v>100</v>
      </c>
      <c r="K50" s="20" t="n">
        <f aca="false">J50/H50*100</f>
        <v>69.4444444444444</v>
      </c>
      <c r="L50" s="22"/>
      <c r="M50" s="23"/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 t="s">
        <v>182</v>
      </c>
      <c r="E51" s="55" t="s">
        <v>112</v>
      </c>
      <c r="F51" s="19" t="n">
        <f aca="false">60/20*8*60</f>
        <v>1440</v>
      </c>
      <c r="G51" s="20" t="n">
        <f aca="false">F51/8</f>
        <v>180</v>
      </c>
      <c r="H51" s="20" t="n">
        <f aca="false">G51*I51</f>
        <v>360</v>
      </c>
      <c r="I51" s="21" t="n">
        <v>2</v>
      </c>
      <c r="J51" s="21" t="n">
        <v>282</v>
      </c>
      <c r="K51" s="20" t="n">
        <f aca="false">J51/H51*100</f>
        <v>78.3333333333333</v>
      </c>
      <c r="L51" s="22"/>
      <c r="M51" s="83"/>
      <c r="N51" s="19" t="n">
        <v>1</v>
      </c>
      <c r="O51" s="19" t="n">
        <v>1</v>
      </c>
      <c r="P51" s="61"/>
    </row>
    <row r="52" customFormat="false" ht="15" hidden="false" customHeight="false" outlineLevel="0" collapsed="false">
      <c r="B52" s="45"/>
      <c r="C52" s="64"/>
      <c r="D52" s="54" t="s">
        <v>52</v>
      </c>
      <c r="E52" s="55" t="s">
        <v>183</v>
      </c>
      <c r="F52" s="19" t="n">
        <f aca="false">60/12*8*60</f>
        <v>2400</v>
      </c>
      <c r="G52" s="20" t="n">
        <f aca="false">F52/8</f>
        <v>300</v>
      </c>
      <c r="H52" s="20" t="n">
        <f aca="false">G52*I52</f>
        <v>1350</v>
      </c>
      <c r="I52" s="21" t="n">
        <v>4.5</v>
      </c>
      <c r="J52" s="21" t="n">
        <v>1100</v>
      </c>
      <c r="K52" s="20" t="n">
        <f aca="false">J52/H52*100</f>
        <v>81.4814814814815</v>
      </c>
      <c r="L52" s="20"/>
      <c r="M52" s="25"/>
      <c r="N52" s="19" t="n">
        <v>1</v>
      </c>
      <c r="O52" s="19" t="n">
        <v>0</v>
      </c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54"/>
      <c r="E54" s="55"/>
      <c r="F54" s="19"/>
      <c r="G54" s="20"/>
      <c r="H54" s="20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4768.28571428571</v>
      </c>
      <c r="I55" s="42"/>
      <c r="J55" s="41" t="n">
        <f aca="false">SUM(J48:J54)</f>
        <v>3937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 t="s">
        <v>117</v>
      </c>
      <c r="E59" s="39" t="s">
        <v>165</v>
      </c>
      <c r="F59" s="19" t="n">
        <f aca="false">60/30*8*60</f>
        <v>960</v>
      </c>
      <c r="G59" s="20" t="n">
        <f aca="false">F59/8</f>
        <v>120</v>
      </c>
      <c r="H59" s="20" t="n">
        <f aca="false">G59*I59</f>
        <v>540</v>
      </c>
      <c r="I59" s="21" t="n">
        <v>4.5</v>
      </c>
      <c r="J59" s="21" t="n">
        <f aca="false">204+110+162</f>
        <v>476</v>
      </c>
      <c r="K59" s="20" t="n">
        <f aca="false">J59/H59*100</f>
        <v>88.1481481481482</v>
      </c>
      <c r="L59" s="20"/>
      <c r="M59" s="25"/>
      <c r="N59" s="19" t="n">
        <v>1</v>
      </c>
      <c r="O59" s="19" t="n">
        <v>3</v>
      </c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476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72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360</v>
      </c>
      <c r="I62" s="72" t="n">
        <v>2</v>
      </c>
      <c r="J62" s="72" t="n">
        <v>300</v>
      </c>
      <c r="K62" s="19" t="n">
        <f aca="false">J62/H62*100</f>
        <v>83.3333333333333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168</v>
      </c>
      <c r="F63" s="19" t="n">
        <f aca="false">60/20*8*60</f>
        <v>1440</v>
      </c>
      <c r="G63" s="19" t="n">
        <f aca="false">F63/8</f>
        <v>180</v>
      </c>
      <c r="H63" s="19" t="n">
        <f aca="false">G63*I63</f>
        <v>450</v>
      </c>
      <c r="I63" s="72" t="n">
        <v>2.5</v>
      </c>
      <c r="J63" s="72" t="n">
        <f aca="false">350+50</f>
        <v>400</v>
      </c>
      <c r="K63" s="19" t="n">
        <f aca="false">J63/H63*100</f>
        <v>88.8888888888889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 t="s">
        <v>67</v>
      </c>
      <c r="E64" s="19" t="s">
        <v>35</v>
      </c>
      <c r="F64" s="19" t="n">
        <f aca="false">60/20*8*60</f>
        <v>1440</v>
      </c>
      <c r="G64" s="19" t="n">
        <f aca="false">F64/8</f>
        <v>180</v>
      </c>
      <c r="H64" s="19" t="n">
        <f aca="false">G64*I64</f>
        <v>360</v>
      </c>
      <c r="I64" s="72" t="n">
        <v>2</v>
      </c>
      <c r="J64" s="72" t="n">
        <f aca="false">90*3</f>
        <v>270</v>
      </c>
      <c r="K64" s="19" t="n">
        <f aca="false">J64/H64*100</f>
        <v>75</v>
      </c>
      <c r="L64" s="19"/>
      <c r="M64" s="68"/>
      <c r="N64" s="19" t="n">
        <v>1</v>
      </c>
      <c r="O64" s="19" t="n">
        <v>1</v>
      </c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1170</v>
      </c>
      <c r="I65" s="30"/>
      <c r="J65" s="29" t="n">
        <f aca="false">SUM(J62:J64)</f>
        <v>970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85"/>
      <c r="E66" s="86"/>
      <c r="F66" s="19"/>
      <c r="G66" s="19"/>
      <c r="H66" s="20"/>
      <c r="I66" s="21"/>
      <c r="J66" s="21"/>
      <c r="K66" s="20"/>
      <c r="L66" s="22"/>
      <c r="M66" s="23"/>
      <c r="N66" s="20"/>
      <c r="O66" s="20"/>
      <c r="P66" s="58" t="s">
        <v>74</v>
      </c>
    </row>
    <row r="67" customFormat="false" ht="15" hidden="false" customHeight="false" outlineLevel="0" collapsed="false">
      <c r="B67" s="15"/>
      <c r="C67" s="37"/>
      <c r="D67" s="54" t="s">
        <v>71</v>
      </c>
      <c r="E67" s="55" t="s">
        <v>72</v>
      </c>
      <c r="F67" s="19" t="n">
        <f aca="false">60/20*8*60</f>
        <v>1440</v>
      </c>
      <c r="G67" s="19" t="n">
        <f aca="false">F67/8</f>
        <v>180</v>
      </c>
      <c r="H67" s="20" t="n">
        <f aca="false">G67*I67</f>
        <v>540</v>
      </c>
      <c r="I67" s="21" t="n">
        <v>3</v>
      </c>
      <c r="J67" s="21" t="n">
        <v>400</v>
      </c>
      <c r="K67" s="20" t="n">
        <f aca="false">J67/H67*100</f>
        <v>74.0740740740741</v>
      </c>
      <c r="L67" s="20"/>
      <c r="M67" s="25"/>
      <c r="N67" s="20"/>
      <c r="O67" s="20"/>
      <c r="P67" s="58"/>
    </row>
    <row r="68" customFormat="false" ht="15" hidden="false" customHeight="false" outlineLevel="0" collapsed="false">
      <c r="B68" s="15"/>
      <c r="C68" s="37"/>
      <c r="D68" s="54" t="s">
        <v>71</v>
      </c>
      <c r="E68" s="55" t="s">
        <v>112</v>
      </c>
      <c r="F68" s="19" t="n">
        <f aca="false">60/20*8*60</f>
        <v>1440</v>
      </c>
      <c r="G68" s="19" t="n">
        <f aca="false">F68/8</f>
        <v>180</v>
      </c>
      <c r="H68" s="20" t="n">
        <f aca="false">G68*I68</f>
        <v>180</v>
      </c>
      <c r="I68" s="21" t="n">
        <v>1</v>
      </c>
      <c r="J68" s="21" t="n">
        <v>100</v>
      </c>
      <c r="K68" s="20" t="n">
        <f aca="false">J68/H68*100</f>
        <v>55.5555555555556</v>
      </c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35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720</v>
      </c>
      <c r="I70" s="75"/>
      <c r="J70" s="41" t="n">
        <f aca="false">SUM(J66:J69)</f>
        <v>500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16525.7857142857</v>
      </c>
      <c r="I71" s="79" t="s">
        <v>25</v>
      </c>
      <c r="J71" s="78" t="n">
        <f aca="false">J9+J12+J15+J18+J30+J39+J47+J55+J58+J61+J65+J70+J21</f>
        <v>14195</v>
      </c>
      <c r="K71" s="80" t="n">
        <f aca="false">J71/H71</f>
        <v>0.858960671850485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L46" activeCellId="0" sqref="L46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184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185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136</v>
      </c>
      <c r="E6" s="18" t="s">
        <v>173</v>
      </c>
      <c r="F6" s="20" t="n">
        <f aca="false">60/80*8*60</f>
        <v>360</v>
      </c>
      <c r="G6" s="20" t="n">
        <f aca="false">F6/8</f>
        <v>45</v>
      </c>
      <c r="H6" s="20" t="n">
        <f aca="false">G6*I6</f>
        <v>450</v>
      </c>
      <c r="I6" s="21" t="n">
        <v>10</v>
      </c>
      <c r="J6" s="21" t="n">
        <f aca="false">220+140</f>
        <v>360</v>
      </c>
      <c r="K6" s="20" t="n">
        <f aca="false">J6/H6*100</f>
        <v>80</v>
      </c>
      <c r="L6" s="20"/>
      <c r="M6" s="25"/>
      <c r="N6" s="19" t="n">
        <v>1</v>
      </c>
      <c r="O6" s="19" t="n">
        <v>1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20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450</v>
      </c>
      <c r="I9" s="30"/>
      <c r="J9" s="29" t="n">
        <f aca="false">SUM(J6:J8)</f>
        <v>360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22</v>
      </c>
      <c r="F13" s="19" t="n">
        <f aca="false">60/30*8*60</f>
        <v>960</v>
      </c>
      <c r="G13" s="20" t="n">
        <f aca="false">F13/8</f>
        <v>120</v>
      </c>
      <c r="H13" s="20" t="n">
        <f aca="false">G13*I13</f>
        <v>360</v>
      </c>
      <c r="I13" s="21" t="n">
        <v>3</v>
      </c>
      <c r="J13" s="21" t="n">
        <v>300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360</v>
      </c>
      <c r="I15" s="42"/>
      <c r="J15" s="41" t="n">
        <f aca="false">SUM(J13:J14)</f>
        <v>300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54"/>
      <c r="E19" s="55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54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43</v>
      </c>
      <c r="E22" s="54" t="s">
        <v>176</v>
      </c>
      <c r="F22" s="19" t="n">
        <f aca="false">60/20*8*60</f>
        <v>1440</v>
      </c>
      <c r="G22" s="20" t="n">
        <f aca="false">F22/8</f>
        <v>180</v>
      </c>
      <c r="H22" s="20" t="n">
        <f aca="false">G22*I22</f>
        <v>450</v>
      </c>
      <c r="I22" s="21" t="n">
        <v>2.5</v>
      </c>
      <c r="J22" s="21" t="n">
        <v>400</v>
      </c>
      <c r="K22" s="20" t="n">
        <f aca="false">J22/H22*100</f>
        <v>88.8888888888889</v>
      </c>
      <c r="L22" s="22"/>
      <c r="M22" s="83"/>
      <c r="N22" s="19" t="n">
        <v>1</v>
      </c>
      <c r="O22" s="19" t="n">
        <v>3</v>
      </c>
      <c r="P22" s="56" t="s">
        <v>39</v>
      </c>
    </row>
    <row r="23" customFormat="false" ht="22.5" hidden="false" customHeight="false" outlineLevel="0" collapsed="false">
      <c r="B23" s="50"/>
      <c r="C23" s="53"/>
      <c r="D23" s="54" t="s">
        <v>28</v>
      </c>
      <c r="E23" s="55" t="s">
        <v>104</v>
      </c>
      <c r="F23" s="19" t="n">
        <f aca="false">60/10*8*60</f>
        <v>2880</v>
      </c>
      <c r="G23" s="20" t="n">
        <f aca="false">F23/8</f>
        <v>360</v>
      </c>
      <c r="H23" s="20" t="n">
        <f aca="false">G23*I23</f>
        <v>3060</v>
      </c>
      <c r="I23" s="21" t="n">
        <v>8.5</v>
      </c>
      <c r="J23" s="21" t="n">
        <v>2750</v>
      </c>
      <c r="K23" s="20" t="n">
        <f aca="false">J23/H23*100</f>
        <v>89.8692810457516</v>
      </c>
      <c r="L23" s="22" t="n">
        <v>20</v>
      </c>
      <c r="M23" s="83" t="s">
        <v>148</v>
      </c>
      <c r="N23" s="19" t="n">
        <v>1</v>
      </c>
      <c r="O23" s="19" t="n">
        <v>0</v>
      </c>
      <c r="P23" s="56"/>
    </row>
    <row r="24" customFormat="false" ht="15" hidden="false" customHeight="false" outlineLevel="0" collapsed="false">
      <c r="B24" s="50"/>
      <c r="C24" s="53"/>
      <c r="D24" s="54" t="s">
        <v>21</v>
      </c>
      <c r="E24" s="55" t="s">
        <v>179</v>
      </c>
      <c r="F24" s="19" t="n">
        <f aca="false">60/20*8*60</f>
        <v>1440</v>
      </c>
      <c r="G24" s="20" t="n">
        <f aca="false">F24/8</f>
        <v>180</v>
      </c>
      <c r="H24" s="20" t="n">
        <f aca="false">G24*I24</f>
        <v>270</v>
      </c>
      <c r="I24" s="21" t="n">
        <v>1.5</v>
      </c>
      <c r="J24" s="21" t="n">
        <v>243</v>
      </c>
      <c r="K24" s="20" t="n">
        <f aca="false">J24/H24*100</f>
        <v>90</v>
      </c>
      <c r="L24" s="22"/>
      <c r="M24" s="38"/>
      <c r="N24" s="19" t="n">
        <v>1</v>
      </c>
      <c r="O24" s="19" t="n">
        <v>1</v>
      </c>
      <c r="P24" s="56"/>
    </row>
    <row r="25" customFormat="false" ht="15" hidden="false" customHeight="false" outlineLevel="0" collapsed="false">
      <c r="B25" s="50"/>
      <c r="C25" s="53"/>
      <c r="D25" s="54"/>
      <c r="E25" s="55"/>
      <c r="F25" s="19"/>
      <c r="G25" s="20"/>
      <c r="H25" s="20"/>
      <c r="I25" s="21"/>
      <c r="J25" s="21"/>
      <c r="K25" s="20"/>
      <c r="L25" s="22"/>
      <c r="M25" s="83"/>
      <c r="N25" s="19"/>
      <c r="O25" s="19"/>
      <c r="P25" s="56"/>
    </row>
    <row r="26" customFormat="false" ht="15" hidden="false" customHeight="false" outlineLevel="0" collapsed="false">
      <c r="B26" s="50"/>
      <c r="C26" s="53"/>
      <c r="D26" s="54"/>
      <c r="E26" s="55"/>
      <c r="F26" s="19"/>
      <c r="G26" s="20"/>
      <c r="H26" s="20"/>
      <c r="I26" s="21"/>
      <c r="J26" s="21"/>
      <c r="K26" s="20"/>
      <c r="L26" s="22"/>
      <c r="M26" s="23"/>
      <c r="N26" s="19"/>
      <c r="O26" s="19"/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3780</v>
      </c>
      <c r="I30" s="30"/>
      <c r="J30" s="29" t="n">
        <f aca="false">SUM(J22:J29)</f>
        <v>3393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28</v>
      </c>
      <c r="E31" s="55" t="s">
        <v>179</v>
      </c>
      <c r="F31" s="20" t="n">
        <f aca="false">60/20*8*60</f>
        <v>1440</v>
      </c>
      <c r="G31" s="20" t="n">
        <f aca="false">F31/8</f>
        <v>180</v>
      </c>
      <c r="H31" s="20" t="n">
        <f aca="false">G31*I31</f>
        <v>990</v>
      </c>
      <c r="I31" s="21" t="n">
        <v>5.5</v>
      </c>
      <c r="J31" s="21" t="n">
        <v>890</v>
      </c>
      <c r="K31" s="20" t="n">
        <f aca="false">J31/H31*100</f>
        <v>89.8989898989899</v>
      </c>
      <c r="L31" s="20"/>
      <c r="M31" s="25"/>
      <c r="N31" s="20" t="n">
        <v>1</v>
      </c>
      <c r="O31" s="20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186</v>
      </c>
      <c r="E32" s="55" t="s">
        <v>149</v>
      </c>
      <c r="F32" s="20" t="n">
        <f aca="false">60/20*8*60</f>
        <v>1440</v>
      </c>
      <c r="G32" s="20" t="n">
        <f aca="false">F32/8</f>
        <v>180</v>
      </c>
      <c r="H32" s="20" t="n">
        <f aca="false">G32*I32</f>
        <v>180</v>
      </c>
      <c r="I32" s="21" t="n">
        <v>1</v>
      </c>
      <c r="J32" s="21" t="n">
        <v>152</v>
      </c>
      <c r="K32" s="20" t="n">
        <f aca="false">J32/H32*100</f>
        <v>84.4444444444444</v>
      </c>
      <c r="L32" s="20"/>
      <c r="M32" s="84"/>
      <c r="N32" s="19" t="n">
        <v>1</v>
      </c>
      <c r="O32" s="19" t="n">
        <v>1</v>
      </c>
      <c r="P32" s="58"/>
    </row>
    <row r="33" customFormat="false" ht="15" hidden="false" customHeight="false" outlineLevel="0" collapsed="false">
      <c r="B33" s="15"/>
      <c r="C33" s="16"/>
      <c r="D33" s="54" t="s">
        <v>187</v>
      </c>
      <c r="E33" s="55" t="s">
        <v>149</v>
      </c>
      <c r="F33" s="20" t="n">
        <f aca="false">60/20*8*60</f>
        <v>1440</v>
      </c>
      <c r="G33" s="20" t="n">
        <f aca="false">F33/8</f>
        <v>180</v>
      </c>
      <c r="H33" s="20" t="n">
        <f aca="false">G33*I33</f>
        <v>180</v>
      </c>
      <c r="I33" s="21" t="n">
        <v>1</v>
      </c>
      <c r="J33" s="21" t="n">
        <v>152</v>
      </c>
      <c r="K33" s="20" t="n">
        <f aca="false">J33/H33*100</f>
        <v>84.4444444444444</v>
      </c>
      <c r="L33" s="20"/>
      <c r="M33" s="84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34</v>
      </c>
      <c r="E34" s="55" t="s">
        <v>124</v>
      </c>
      <c r="F34" s="20" t="n">
        <f aca="false">60/20*8*60</f>
        <v>1440</v>
      </c>
      <c r="G34" s="20" t="n">
        <f aca="false">F34/8</f>
        <v>180</v>
      </c>
      <c r="H34" s="20" t="n">
        <f aca="false">G34*I34</f>
        <v>540</v>
      </c>
      <c r="I34" s="21" t="n">
        <v>3</v>
      </c>
      <c r="J34" s="21" t="n">
        <v>420</v>
      </c>
      <c r="K34" s="20" t="n">
        <f aca="false">J34/H34*100</f>
        <v>77.7777777777778</v>
      </c>
      <c r="L34" s="20"/>
      <c r="M34" s="84"/>
      <c r="N34" s="20" t="n">
        <v>1</v>
      </c>
      <c r="O34" s="20" t="n">
        <v>1</v>
      </c>
      <c r="P34" s="58"/>
    </row>
    <row r="35" customFormat="false" ht="15" hidden="false" customHeight="false" outlineLevel="0" collapsed="false">
      <c r="B35" s="15"/>
      <c r="C35" s="16"/>
      <c r="D35" s="54" t="s">
        <v>43</v>
      </c>
      <c r="E35" s="55" t="s">
        <v>127</v>
      </c>
      <c r="F35" s="20" t="n">
        <f aca="false">60/25*8*60</f>
        <v>1152</v>
      </c>
      <c r="G35" s="20" t="n">
        <f aca="false">F35/8</f>
        <v>144</v>
      </c>
      <c r="H35" s="20" t="n">
        <f aca="false">G35*I35</f>
        <v>144</v>
      </c>
      <c r="I35" s="21" t="n">
        <v>1</v>
      </c>
      <c r="J35" s="21" t="n">
        <v>110</v>
      </c>
      <c r="K35" s="20" t="n">
        <f aca="false">J35/H35*100</f>
        <v>76.3888888888889</v>
      </c>
      <c r="L35" s="22"/>
      <c r="M35" s="23"/>
      <c r="N35" s="19" t="n">
        <v>1</v>
      </c>
      <c r="O35" s="19" t="n">
        <v>1</v>
      </c>
      <c r="P35" s="58"/>
    </row>
    <row r="36" customFormat="false" ht="15" hidden="false" customHeight="false" outlineLevel="0" collapsed="false">
      <c r="B36" s="15"/>
      <c r="C36" s="16"/>
      <c r="D36" s="54" t="s">
        <v>52</v>
      </c>
      <c r="E36" s="55" t="s">
        <v>188</v>
      </c>
      <c r="F36" s="20" t="n">
        <f aca="false">60/16*8*60</f>
        <v>1800</v>
      </c>
      <c r="G36" s="20" t="n">
        <f aca="false">F36/8</f>
        <v>225</v>
      </c>
      <c r="H36" s="20" t="n">
        <f aca="false">G36*I36</f>
        <v>675</v>
      </c>
      <c r="I36" s="21" t="n">
        <v>3</v>
      </c>
      <c r="J36" s="21" t="n">
        <v>600</v>
      </c>
      <c r="K36" s="20" t="n">
        <f aca="false">J36/H36*100</f>
        <v>88.8888888888889</v>
      </c>
      <c r="L36" s="22"/>
      <c r="M36" s="23"/>
      <c r="N36" s="19" t="n">
        <v>1</v>
      </c>
      <c r="O36" s="19" t="n">
        <v>1</v>
      </c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2709</v>
      </c>
      <c r="I39" s="42"/>
      <c r="J39" s="49" t="n">
        <f aca="false">SUM(J31:J38)</f>
        <v>2324</v>
      </c>
      <c r="K39" s="43"/>
      <c r="L39" s="43"/>
      <c r="M39" s="44"/>
      <c r="N39" s="43"/>
      <c r="O39" s="43"/>
      <c r="P39" s="58"/>
    </row>
    <row r="40" customFormat="false" ht="22.5" hidden="false" customHeight="true" outlineLevel="0" collapsed="false">
      <c r="B40" s="45" t="n">
        <v>7</v>
      </c>
      <c r="C40" s="60" t="s">
        <v>51</v>
      </c>
      <c r="D40" s="54" t="s">
        <v>21</v>
      </c>
      <c r="E40" s="55" t="s">
        <v>55</v>
      </c>
      <c r="F40" s="19" t="n">
        <f aca="false">60/14*8*60</f>
        <v>2057.14285714286</v>
      </c>
      <c r="G40" s="20" t="n">
        <f aca="false">F40/8</f>
        <v>257.142857142858</v>
      </c>
      <c r="H40" s="20" t="n">
        <f aca="false">G40*I40</f>
        <v>1542.85714285714</v>
      </c>
      <c r="I40" s="21" t="n">
        <v>6</v>
      </c>
      <c r="J40" s="21" t="n">
        <v>1400</v>
      </c>
      <c r="K40" s="20" t="n">
        <f aca="false">J40/H40*100</f>
        <v>90.7407407407406</v>
      </c>
      <c r="L40" s="20" t="n">
        <v>20</v>
      </c>
      <c r="M40" s="59" t="s">
        <v>148</v>
      </c>
      <c r="N40" s="19" t="n">
        <v>1</v>
      </c>
      <c r="O40" s="19" t="n">
        <v>1</v>
      </c>
      <c r="P40" s="61" t="s">
        <v>53</v>
      </c>
    </row>
    <row r="41" customFormat="false" ht="22.5" hidden="false" customHeight="false" outlineLevel="0" collapsed="false">
      <c r="B41" s="45"/>
      <c r="C41" s="60"/>
      <c r="D41" s="54" t="s">
        <v>90</v>
      </c>
      <c r="E41" s="55" t="s">
        <v>189</v>
      </c>
      <c r="F41" s="19" t="n">
        <f aca="false">60/40*8*60</f>
        <v>720</v>
      </c>
      <c r="G41" s="20" t="n">
        <f aca="false">F41/8</f>
        <v>90</v>
      </c>
      <c r="H41" s="20" t="n">
        <f aca="false">G41*I41</f>
        <v>45</v>
      </c>
      <c r="I41" s="21" t="n">
        <v>0.5</v>
      </c>
      <c r="J41" s="21" t="n">
        <v>37</v>
      </c>
      <c r="K41" s="20" t="n">
        <f aca="false">J41/H41*100</f>
        <v>82.2222222222222</v>
      </c>
      <c r="L41" s="20" t="n">
        <v>20</v>
      </c>
      <c r="M41" s="59" t="s">
        <v>148</v>
      </c>
      <c r="N41" s="19" t="n">
        <v>1</v>
      </c>
      <c r="O41" s="19" t="n">
        <v>3</v>
      </c>
      <c r="P41" s="61"/>
    </row>
    <row r="42" customFormat="false" ht="15" hidden="false" customHeight="false" outlineLevel="0" collapsed="false">
      <c r="B42" s="45"/>
      <c r="C42" s="60"/>
      <c r="D42" s="54" t="s">
        <v>45</v>
      </c>
      <c r="E42" s="55" t="s">
        <v>190</v>
      </c>
      <c r="F42" s="19" t="n">
        <f aca="false">60/30*8*60</f>
        <v>960</v>
      </c>
      <c r="G42" s="20" t="n">
        <f aca="false">F42/8</f>
        <v>120</v>
      </c>
      <c r="H42" s="20" t="n">
        <f aca="false">G42*I42</f>
        <v>120</v>
      </c>
      <c r="I42" s="21" t="n">
        <v>1</v>
      </c>
      <c r="J42" s="21" t="n">
        <f aca="false">37+60</f>
        <v>97</v>
      </c>
      <c r="K42" s="20" t="n">
        <f aca="false">J42/H42*100</f>
        <v>80.8333333333333</v>
      </c>
      <c r="L42" s="22"/>
      <c r="M42" s="59"/>
      <c r="N42" s="19" t="n">
        <v>1</v>
      </c>
      <c r="O42" s="19" t="n">
        <v>3</v>
      </c>
      <c r="P42" s="61"/>
    </row>
    <row r="43" customFormat="false" ht="15" hidden="false" customHeight="false" outlineLevel="0" collapsed="false">
      <c r="B43" s="45"/>
      <c r="C43" s="60"/>
      <c r="D43" s="54" t="s">
        <v>49</v>
      </c>
      <c r="E43" s="55" t="s">
        <v>72</v>
      </c>
      <c r="F43" s="19" t="n">
        <f aca="false">60/18*8*60</f>
        <v>1600</v>
      </c>
      <c r="G43" s="20" t="n">
        <f aca="false">F43/8</f>
        <v>200</v>
      </c>
      <c r="H43" s="20" t="n">
        <f aca="false">G43*I43</f>
        <v>500</v>
      </c>
      <c r="I43" s="21" t="n">
        <v>2.5</v>
      </c>
      <c r="J43" s="21" t="n">
        <v>396</v>
      </c>
      <c r="K43" s="20" t="n">
        <f aca="false">J43/H43*100</f>
        <v>79.2</v>
      </c>
      <c r="L43" s="20"/>
      <c r="M43" s="25"/>
      <c r="N43" s="20" t="n">
        <v>1</v>
      </c>
      <c r="O43" s="20" t="n">
        <v>1</v>
      </c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19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19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2207.85714285714</v>
      </c>
      <c r="I47" s="63"/>
      <c r="J47" s="41" t="n">
        <f aca="false">SUM(J40:J46)</f>
        <v>1930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34</v>
      </c>
      <c r="E48" s="55" t="s">
        <v>111</v>
      </c>
      <c r="F48" s="19" t="n">
        <f aca="false">60/12*8*60</f>
        <v>2400</v>
      </c>
      <c r="G48" s="20" t="n">
        <f aca="false">F48/8</f>
        <v>300</v>
      </c>
      <c r="H48" s="20" t="n">
        <f aca="false">G48*I48</f>
        <v>750</v>
      </c>
      <c r="I48" s="21" t="n">
        <v>2.5</v>
      </c>
      <c r="J48" s="21" t="n">
        <f aca="false">1100-455</f>
        <v>645</v>
      </c>
      <c r="K48" s="20" t="n">
        <f aca="false">J48/H48*100</f>
        <v>86</v>
      </c>
      <c r="L48" s="20"/>
      <c r="M48" s="25"/>
      <c r="N48" s="19" t="n">
        <v>1</v>
      </c>
      <c r="O48" s="19" t="n">
        <v>1</v>
      </c>
      <c r="P48" s="61" t="s">
        <v>60</v>
      </c>
    </row>
    <row r="49" customFormat="false" ht="15" hidden="false" customHeight="false" outlineLevel="0" collapsed="false">
      <c r="B49" s="45"/>
      <c r="C49" s="64"/>
      <c r="D49" s="54" t="s">
        <v>34</v>
      </c>
      <c r="E49" s="55" t="s">
        <v>50</v>
      </c>
      <c r="F49" s="19" t="n">
        <f aca="false">60/12*8*60</f>
        <v>2400</v>
      </c>
      <c r="G49" s="20" t="n">
        <f aca="false">F49/8</f>
        <v>300</v>
      </c>
      <c r="H49" s="20" t="n">
        <f aca="false">G49*I49</f>
        <v>1350</v>
      </c>
      <c r="I49" s="21" t="n">
        <v>4.5</v>
      </c>
      <c r="J49" s="21" t="n">
        <v>1120</v>
      </c>
      <c r="K49" s="20" t="n">
        <f aca="false">J49/H49*100</f>
        <v>82.962962962963</v>
      </c>
      <c r="L49" s="22"/>
      <c r="M49" s="23"/>
      <c r="N49" s="19" t="n">
        <v>1</v>
      </c>
      <c r="O49" s="19" t="n">
        <v>1</v>
      </c>
      <c r="P49" s="61"/>
    </row>
    <row r="50" customFormat="false" ht="15" hidden="false" customHeight="false" outlineLevel="0" collapsed="false">
      <c r="B50" s="45"/>
      <c r="C50" s="64"/>
      <c r="D50" s="54" t="s">
        <v>113</v>
      </c>
      <c r="E50" s="55" t="s">
        <v>191</v>
      </c>
      <c r="F50" s="19" t="n">
        <f aca="false">60/40*8*60</f>
        <v>720</v>
      </c>
      <c r="G50" s="20" t="n">
        <f aca="false">F50/8</f>
        <v>90</v>
      </c>
      <c r="H50" s="20" t="n">
        <f aca="false">G50*I50</f>
        <v>90</v>
      </c>
      <c r="I50" s="21" t="n">
        <v>1</v>
      </c>
      <c r="J50" s="21" t="n">
        <f aca="false">37+40</f>
        <v>77</v>
      </c>
      <c r="K50" s="20" t="n">
        <f aca="false">J50/H50*100</f>
        <v>85.5555555555556</v>
      </c>
      <c r="L50" s="22"/>
      <c r="M50" s="23"/>
      <c r="N50" s="19" t="n">
        <v>1</v>
      </c>
      <c r="O50" s="19" t="n">
        <v>3</v>
      </c>
      <c r="P50" s="61"/>
    </row>
    <row r="51" customFormat="false" ht="15" hidden="false" customHeight="false" outlineLevel="0" collapsed="false">
      <c r="B51" s="45"/>
      <c r="C51" s="64"/>
      <c r="D51" s="54" t="s">
        <v>136</v>
      </c>
      <c r="E51" s="55" t="s">
        <v>191</v>
      </c>
      <c r="F51" s="19" t="n">
        <f aca="false">60/40*8*60</f>
        <v>720</v>
      </c>
      <c r="G51" s="20" t="n">
        <f aca="false">F51/8</f>
        <v>90</v>
      </c>
      <c r="H51" s="20" t="n">
        <f aca="false">G51*I51</f>
        <v>90</v>
      </c>
      <c r="I51" s="21" t="n">
        <v>1</v>
      </c>
      <c r="J51" s="21" t="n">
        <v>77</v>
      </c>
      <c r="K51" s="20" t="n">
        <f aca="false">J51/H51*100</f>
        <v>85.5555555555556</v>
      </c>
      <c r="L51" s="22"/>
      <c r="M51" s="83"/>
      <c r="N51" s="19" t="n">
        <v>1</v>
      </c>
      <c r="O51" s="19" t="n">
        <v>3</v>
      </c>
      <c r="P51" s="61"/>
    </row>
    <row r="52" customFormat="false" ht="15" hidden="false" customHeight="false" outlineLevel="0" collapsed="false">
      <c r="B52" s="45"/>
      <c r="C52" s="64"/>
      <c r="D52" s="54" t="s">
        <v>85</v>
      </c>
      <c r="E52" s="55" t="s">
        <v>191</v>
      </c>
      <c r="F52" s="19" t="n">
        <f aca="false">60/40*8*60</f>
        <v>720</v>
      </c>
      <c r="G52" s="20" t="n">
        <f aca="false">F52/8</f>
        <v>90</v>
      </c>
      <c r="H52" s="20" t="n">
        <f aca="false">G52*I52</f>
        <v>90</v>
      </c>
      <c r="I52" s="21" t="n">
        <v>1</v>
      </c>
      <c r="J52" s="21" t="n">
        <v>77</v>
      </c>
      <c r="K52" s="20" t="n">
        <f aca="false">J52/H52*100</f>
        <v>85.5555555555556</v>
      </c>
      <c r="L52" s="20"/>
      <c r="M52" s="25"/>
      <c r="N52" s="19" t="n">
        <v>1</v>
      </c>
      <c r="O52" s="19" t="n">
        <v>3</v>
      </c>
      <c r="P52" s="61"/>
    </row>
    <row r="53" customFormat="false" ht="15" hidden="false" customHeight="false" outlineLevel="0" collapsed="false">
      <c r="B53" s="45"/>
      <c r="C53" s="64"/>
      <c r="D53" s="54" t="s">
        <v>109</v>
      </c>
      <c r="E53" s="55" t="s">
        <v>189</v>
      </c>
      <c r="F53" s="19" t="n">
        <f aca="false">60/40*8*60</f>
        <v>720</v>
      </c>
      <c r="G53" s="20" t="n">
        <f aca="false">F53/8</f>
        <v>90</v>
      </c>
      <c r="H53" s="20" t="n">
        <f aca="false">G53*I53</f>
        <v>45</v>
      </c>
      <c r="I53" s="21" t="n">
        <v>0.5</v>
      </c>
      <c r="J53" s="21" t="n">
        <v>37</v>
      </c>
      <c r="K53" s="20" t="n">
        <f aca="false">J53/H53*100</f>
        <v>82.2222222222222</v>
      </c>
      <c r="L53" s="22"/>
      <c r="M53" s="23"/>
      <c r="N53" s="19" t="n">
        <v>1</v>
      </c>
      <c r="O53" s="19" t="n">
        <v>3</v>
      </c>
      <c r="P53" s="61"/>
    </row>
    <row r="54" customFormat="false" ht="15" hidden="false" customHeight="false" outlineLevel="0" collapsed="false">
      <c r="B54" s="45"/>
      <c r="C54" s="64"/>
      <c r="D54" s="54" t="s">
        <v>47</v>
      </c>
      <c r="E54" s="55" t="s">
        <v>72</v>
      </c>
      <c r="F54" s="19" t="n">
        <f aca="false">60/18*8*60</f>
        <v>1600</v>
      </c>
      <c r="G54" s="19" t="n">
        <f aca="false">F54/8</f>
        <v>200</v>
      </c>
      <c r="H54" s="19" t="n">
        <f aca="false">G54*I54</f>
        <v>400</v>
      </c>
      <c r="I54" s="21" t="n">
        <v>2</v>
      </c>
      <c r="J54" s="21" t="n">
        <v>350</v>
      </c>
      <c r="K54" s="20" t="n">
        <f aca="false">J54/H54*100</f>
        <v>87.5</v>
      </c>
      <c r="L54" s="22"/>
      <c r="M54" s="23"/>
      <c r="N54" s="65" t="n">
        <v>1</v>
      </c>
      <c r="O54" s="65" t="n">
        <v>1</v>
      </c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2815</v>
      </c>
      <c r="I55" s="42"/>
      <c r="J55" s="41" t="n">
        <f aca="false">SUM(J48:J54)</f>
        <v>2383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 t="s">
        <v>117</v>
      </c>
      <c r="E59" s="39" t="s">
        <v>192</v>
      </c>
      <c r="F59" s="19" t="n">
        <f aca="false">60/30*8*60</f>
        <v>960</v>
      </c>
      <c r="G59" s="20" t="n">
        <f aca="false">F59/8</f>
        <v>120</v>
      </c>
      <c r="H59" s="20" t="n">
        <f aca="false">G59*I59</f>
        <v>540</v>
      </c>
      <c r="I59" s="21" t="n">
        <v>4.5</v>
      </c>
      <c r="J59" s="21" t="n">
        <f aca="false">140+220+37+40</f>
        <v>437</v>
      </c>
      <c r="K59" s="20" t="n">
        <f aca="false">J59/H59*100</f>
        <v>80.9259259259259</v>
      </c>
      <c r="L59" s="20"/>
      <c r="M59" s="25"/>
      <c r="N59" s="19" t="n">
        <v>1</v>
      </c>
      <c r="O59" s="19" t="n">
        <v>3</v>
      </c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437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72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450</v>
      </c>
      <c r="I62" s="72" t="n">
        <v>2.5</v>
      </c>
      <c r="J62" s="72" t="n">
        <v>380</v>
      </c>
      <c r="K62" s="19" t="n">
        <f aca="false">J62/H62*100</f>
        <v>84.4444444444444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193</v>
      </c>
      <c r="F63" s="19" t="n">
        <f aca="false">60/20*8*60</f>
        <v>1440</v>
      </c>
      <c r="G63" s="19" t="n">
        <f aca="false">F63/8</f>
        <v>180</v>
      </c>
      <c r="H63" s="19" t="n">
        <f aca="false">G63*I63</f>
        <v>360</v>
      </c>
      <c r="I63" s="72" t="n">
        <v>2</v>
      </c>
      <c r="J63" s="72" t="n">
        <v>300</v>
      </c>
      <c r="K63" s="19" t="n">
        <f aca="false">J63/H63*100</f>
        <v>83.3333333333333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810</v>
      </c>
      <c r="I65" s="30"/>
      <c r="J65" s="29" t="n">
        <f aca="false">SUM(J62:J64)</f>
        <v>680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85" t="s">
        <v>71</v>
      </c>
      <c r="E66" s="86" t="s">
        <v>112</v>
      </c>
      <c r="F66" s="19" t="n">
        <f aca="false">60/20*8*60</f>
        <v>1440</v>
      </c>
      <c r="G66" s="19" t="n">
        <f aca="false">F66/8</f>
        <v>180</v>
      </c>
      <c r="H66" s="19" t="n">
        <f aca="false">G66*I66</f>
        <v>270</v>
      </c>
      <c r="I66" s="72" t="n">
        <v>1.5</v>
      </c>
      <c r="J66" s="72" t="n">
        <v>186</v>
      </c>
      <c r="K66" s="19" t="n">
        <f aca="false">J66/H66*100</f>
        <v>68.8888888888889</v>
      </c>
      <c r="L66" s="22"/>
      <c r="M66" s="23"/>
      <c r="N66" s="20" t="n">
        <v>1</v>
      </c>
      <c r="O66" s="20" t="n">
        <v>1</v>
      </c>
      <c r="P66" s="58" t="s">
        <v>74</v>
      </c>
    </row>
    <row r="67" customFormat="false" ht="15" hidden="false" customHeight="false" outlineLevel="0" collapsed="false">
      <c r="B67" s="15"/>
      <c r="C67" s="37"/>
      <c r="D67" s="54"/>
      <c r="E67" s="55"/>
      <c r="F67" s="19"/>
      <c r="G67" s="19"/>
      <c r="H67" s="20"/>
      <c r="I67" s="21"/>
      <c r="J67" s="21"/>
      <c r="K67" s="20"/>
      <c r="L67" s="20"/>
      <c r="M67" s="25"/>
      <c r="N67" s="20"/>
      <c r="O67" s="20"/>
      <c r="P67" s="58"/>
    </row>
    <row r="68" customFormat="false" ht="15" hidden="false" customHeight="false" outlineLevel="0" collapsed="false">
      <c r="B68" s="15"/>
      <c r="C68" s="37"/>
      <c r="D68" s="54"/>
      <c r="E68" s="55"/>
      <c r="F68" s="19"/>
      <c r="G68" s="19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35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270</v>
      </c>
      <c r="I70" s="75"/>
      <c r="J70" s="41" t="n">
        <f aca="false">SUM(J66:J69)</f>
        <v>186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14661.8571428571</v>
      </c>
      <c r="I71" s="79" t="s">
        <v>25</v>
      </c>
      <c r="J71" s="78" t="n">
        <f aca="false">J9+J12+J15+J18+J30+J39+J47+J55+J58+J61+J65+J70+J21</f>
        <v>12993</v>
      </c>
      <c r="K71" s="80" t="n">
        <f aca="false">J71/H71</f>
        <v>0.886176960626699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K13" activeCellId="0" sqref="K13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184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185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8" t="s">
        <v>22</v>
      </c>
      <c r="F6" s="20" t="n">
        <f aca="false">60/50*8*60</f>
        <v>576</v>
      </c>
      <c r="G6" s="20" t="n">
        <f aca="false">F6/8</f>
        <v>72</v>
      </c>
      <c r="H6" s="20" t="n">
        <f aca="false">G6*I6</f>
        <v>432</v>
      </c>
      <c r="I6" s="21" t="n">
        <v>6</v>
      </c>
      <c r="J6" s="21" t="n">
        <v>385</v>
      </c>
      <c r="K6" s="20" t="n">
        <f aca="false">J6/H6*100</f>
        <v>89.1203703703704</v>
      </c>
      <c r="L6" s="20"/>
      <c r="M6" s="25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 t="s">
        <v>21</v>
      </c>
      <c r="E7" s="18" t="s">
        <v>22</v>
      </c>
      <c r="F7" s="20" t="n">
        <f aca="false">60/50*8*60</f>
        <v>576</v>
      </c>
      <c r="G7" s="20" t="n">
        <f aca="false">F7/8</f>
        <v>72</v>
      </c>
      <c r="H7" s="20" t="n">
        <f aca="false">G7*I7</f>
        <v>180</v>
      </c>
      <c r="I7" s="21" t="n">
        <v>2.5</v>
      </c>
      <c r="J7" s="21" t="n">
        <v>150</v>
      </c>
      <c r="K7" s="20" t="n">
        <f aca="false">J7/H7*100</f>
        <v>83.3333333333333</v>
      </c>
      <c r="L7" s="20"/>
      <c r="M7" s="25"/>
      <c r="N7" s="19" t="n">
        <v>1</v>
      </c>
      <c r="O7" s="19" t="n">
        <v>0</v>
      </c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612</v>
      </c>
      <c r="I9" s="30"/>
      <c r="J9" s="29" t="n">
        <f aca="false">SUM(J6:J8)</f>
        <v>535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22</v>
      </c>
      <c r="F13" s="19" t="n">
        <f aca="false">60/20*8*60</f>
        <v>1440</v>
      </c>
      <c r="G13" s="20" t="n">
        <f aca="false">F13/8</f>
        <v>180</v>
      </c>
      <c r="H13" s="20" t="n">
        <f aca="false">G13*I13</f>
        <v>1440</v>
      </c>
      <c r="I13" s="21" t="n">
        <v>8</v>
      </c>
      <c r="J13" s="21" t="n">
        <v>1200</v>
      </c>
      <c r="K13" s="20" t="n">
        <f aca="false">J13/H13*100</f>
        <v>83.3333333333333</v>
      </c>
      <c r="L13" s="22"/>
      <c r="M13" s="23"/>
      <c r="N13" s="19" t="n">
        <v>1</v>
      </c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1440</v>
      </c>
      <c r="I15" s="42"/>
      <c r="J15" s="41" t="n">
        <f aca="false">SUM(J13:J14)</f>
        <v>1200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54"/>
      <c r="E19" s="55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54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21</v>
      </c>
      <c r="E22" s="55" t="s">
        <v>179</v>
      </c>
      <c r="F22" s="19" t="n">
        <f aca="false">60/20*8*60</f>
        <v>1440</v>
      </c>
      <c r="G22" s="20" t="n">
        <f aca="false">F22/8</f>
        <v>180</v>
      </c>
      <c r="H22" s="20" t="n">
        <f aca="false">G22*I22</f>
        <v>900</v>
      </c>
      <c r="I22" s="21" t="n">
        <v>5</v>
      </c>
      <c r="J22" s="21" t="n">
        <v>783</v>
      </c>
      <c r="K22" s="20" t="n">
        <f aca="false">J22/H22*100</f>
        <v>87</v>
      </c>
      <c r="L22" s="22"/>
      <c r="M22" s="83"/>
      <c r="N22" s="19" t="n">
        <v>1</v>
      </c>
      <c r="O22" s="19" t="n">
        <v>1</v>
      </c>
      <c r="P22" s="56" t="s">
        <v>39</v>
      </c>
    </row>
    <row r="23" customFormat="false" ht="22.5" hidden="false" customHeight="false" outlineLevel="0" collapsed="false">
      <c r="B23" s="50"/>
      <c r="C23" s="53"/>
      <c r="D23" s="54" t="s">
        <v>34</v>
      </c>
      <c r="E23" s="55" t="s">
        <v>22</v>
      </c>
      <c r="F23" s="19" t="n">
        <f aca="false">60/30*8*60</f>
        <v>960</v>
      </c>
      <c r="G23" s="20" t="n">
        <f aca="false">F23/8</f>
        <v>120</v>
      </c>
      <c r="H23" s="20" t="n">
        <f aca="false">G23*I23</f>
        <v>240</v>
      </c>
      <c r="I23" s="21" t="n">
        <v>2</v>
      </c>
      <c r="J23" s="21" t="n">
        <v>210</v>
      </c>
      <c r="K23" s="20" t="n">
        <f aca="false">J23/H23*100</f>
        <v>87.5</v>
      </c>
      <c r="L23" s="22" t="n">
        <v>20</v>
      </c>
      <c r="M23" s="83" t="s">
        <v>148</v>
      </c>
      <c r="N23" s="19" t="n">
        <v>1</v>
      </c>
      <c r="O23" s="19" t="n">
        <v>0</v>
      </c>
      <c r="P23" s="56"/>
    </row>
    <row r="24" customFormat="false" ht="15" hidden="false" customHeight="false" outlineLevel="0" collapsed="false">
      <c r="B24" s="50"/>
      <c r="C24" s="53"/>
      <c r="D24" s="54" t="s">
        <v>45</v>
      </c>
      <c r="E24" s="55" t="s">
        <v>194</v>
      </c>
      <c r="F24" s="19" t="n">
        <f aca="false">60/30*8*60</f>
        <v>960</v>
      </c>
      <c r="G24" s="20" t="n">
        <f aca="false">F24/8</f>
        <v>120</v>
      </c>
      <c r="H24" s="20" t="n">
        <f aca="false">G24*I24</f>
        <v>120</v>
      </c>
      <c r="I24" s="21" t="n">
        <v>1</v>
      </c>
      <c r="J24" s="21" t="n">
        <f aca="false">27+62</f>
        <v>89</v>
      </c>
      <c r="K24" s="20" t="n">
        <f aca="false">J24/H24*100</f>
        <v>74.1666666666667</v>
      </c>
      <c r="L24" s="22"/>
      <c r="M24" s="38"/>
      <c r="N24" s="19" t="n">
        <v>1</v>
      </c>
      <c r="O24" s="19" t="n">
        <v>3</v>
      </c>
      <c r="P24" s="56"/>
    </row>
    <row r="25" customFormat="false" ht="15" hidden="false" customHeight="false" outlineLevel="0" collapsed="false">
      <c r="B25" s="50"/>
      <c r="C25" s="53"/>
      <c r="D25" s="54" t="s">
        <v>45</v>
      </c>
      <c r="E25" s="55" t="n">
        <v>2601</v>
      </c>
      <c r="F25" s="19" t="n">
        <f aca="false">60/30*8*60</f>
        <v>960</v>
      </c>
      <c r="G25" s="20" t="n">
        <f aca="false">F25/8</f>
        <v>120</v>
      </c>
      <c r="H25" s="20" t="n">
        <f aca="false">G25*I25</f>
        <v>60</v>
      </c>
      <c r="I25" s="21" t="n">
        <v>0.5</v>
      </c>
      <c r="J25" s="21" t="n">
        <v>30</v>
      </c>
      <c r="K25" s="20" t="n">
        <f aca="false">J25/H25*100</f>
        <v>50</v>
      </c>
      <c r="L25" s="22"/>
      <c r="M25" s="38"/>
      <c r="N25" s="19" t="n">
        <v>1</v>
      </c>
      <c r="O25" s="19" t="n">
        <v>3</v>
      </c>
      <c r="P25" s="56"/>
    </row>
    <row r="26" customFormat="false" ht="15" hidden="false" customHeight="false" outlineLevel="0" collapsed="false">
      <c r="B26" s="50"/>
      <c r="C26" s="53"/>
      <c r="D26" s="54" t="s">
        <v>52</v>
      </c>
      <c r="E26" s="55" t="s">
        <v>127</v>
      </c>
      <c r="F26" s="19" t="n">
        <f aca="false">60/20*8*60</f>
        <v>1440</v>
      </c>
      <c r="G26" s="20" t="n">
        <f aca="false">F26/8</f>
        <v>180</v>
      </c>
      <c r="H26" s="20" t="n">
        <f aca="false">G26*I26</f>
        <v>810</v>
      </c>
      <c r="I26" s="21" t="n">
        <v>4.5</v>
      </c>
      <c r="J26" s="21" t="n">
        <v>710</v>
      </c>
      <c r="K26" s="20" t="n">
        <f aca="false">J26/H26*100</f>
        <v>87.6543209876543</v>
      </c>
      <c r="L26" s="22"/>
      <c r="M26" s="23"/>
      <c r="N26" s="19" t="n">
        <v>1</v>
      </c>
      <c r="O26" s="19" t="n">
        <v>0</v>
      </c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2130</v>
      </c>
      <c r="I30" s="30"/>
      <c r="J30" s="29" t="n">
        <f aca="false">SUM(J22:J29)</f>
        <v>1822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43</v>
      </c>
      <c r="E31" s="55" t="s">
        <v>127</v>
      </c>
      <c r="F31" s="20" t="n">
        <f aca="false">60/22*8*60</f>
        <v>1309.09090909091</v>
      </c>
      <c r="G31" s="20" t="n">
        <f aca="false">F31/8</f>
        <v>163.636363636364</v>
      </c>
      <c r="H31" s="20" t="n">
        <f aca="false">G31*I31</f>
        <v>654.545454545455</v>
      </c>
      <c r="I31" s="21" t="n">
        <v>4</v>
      </c>
      <c r="J31" s="21" t="n">
        <v>600</v>
      </c>
      <c r="K31" s="20" t="n">
        <f aca="false">J31/H31*100</f>
        <v>91.6666666666666</v>
      </c>
      <c r="L31" s="22"/>
      <c r="M31" s="23"/>
      <c r="N31" s="19" t="n">
        <v>1</v>
      </c>
      <c r="O31" s="19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178</v>
      </c>
      <c r="E32" s="55" t="s">
        <v>72</v>
      </c>
      <c r="F32" s="20" t="n">
        <f aca="false">60/20*8*60</f>
        <v>1440</v>
      </c>
      <c r="G32" s="20" t="n">
        <f aca="false">F32/8</f>
        <v>180</v>
      </c>
      <c r="H32" s="20" t="n">
        <f aca="false">G32*I32</f>
        <v>540</v>
      </c>
      <c r="I32" s="21" t="n">
        <v>3</v>
      </c>
      <c r="J32" s="21" t="n">
        <v>478</v>
      </c>
      <c r="K32" s="20" t="n">
        <f aca="false">J32/H32*100</f>
        <v>88.5185185185185</v>
      </c>
      <c r="L32" s="20"/>
      <c r="M32" s="84"/>
      <c r="N32" s="19" t="n">
        <v>1</v>
      </c>
      <c r="O32" s="19" t="n">
        <v>1</v>
      </c>
      <c r="P32" s="58"/>
    </row>
    <row r="33" customFormat="false" ht="15" hidden="false" customHeight="false" outlineLevel="0" collapsed="false">
      <c r="B33" s="15"/>
      <c r="C33" s="16"/>
      <c r="D33" s="54" t="s">
        <v>34</v>
      </c>
      <c r="E33" s="55" t="s">
        <v>22</v>
      </c>
      <c r="F33" s="20" t="n">
        <f aca="false">60/25*8*60</f>
        <v>1152</v>
      </c>
      <c r="G33" s="20" t="n">
        <f aca="false">F33/8</f>
        <v>144</v>
      </c>
      <c r="H33" s="20" t="n">
        <f aca="false">G33*I33</f>
        <v>288</v>
      </c>
      <c r="I33" s="21" t="n">
        <v>2</v>
      </c>
      <c r="J33" s="21" t="n">
        <v>210</v>
      </c>
      <c r="K33" s="20" t="n">
        <f aca="false">J33/H33*100</f>
        <v>72.9166666666667</v>
      </c>
      <c r="L33" s="20" t="n">
        <v>10</v>
      </c>
      <c r="M33" s="84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186</v>
      </c>
      <c r="E34" s="55" t="s">
        <v>195</v>
      </c>
      <c r="F34" s="20" t="n">
        <f aca="false">60/18*8*60</f>
        <v>1600</v>
      </c>
      <c r="G34" s="20" t="n">
        <f aca="false">F34/8</f>
        <v>200</v>
      </c>
      <c r="H34" s="20" t="n">
        <f aca="false">G34*I34</f>
        <v>800</v>
      </c>
      <c r="I34" s="21" t="n">
        <v>4</v>
      </c>
      <c r="J34" s="21" t="n">
        <f aca="false">340+400</f>
        <v>740</v>
      </c>
      <c r="K34" s="20" t="n">
        <f aca="false">J34/H34*100</f>
        <v>92.5</v>
      </c>
      <c r="L34" s="22"/>
      <c r="M34" s="23"/>
      <c r="N34" s="19" t="n">
        <v>1</v>
      </c>
      <c r="O34" s="19" t="n">
        <v>1</v>
      </c>
      <c r="P34" s="58"/>
    </row>
    <row r="35" customFormat="false" ht="15" hidden="false" customHeight="false" outlineLevel="0" collapsed="false">
      <c r="B35" s="15"/>
      <c r="C35" s="16"/>
      <c r="D35" s="54"/>
      <c r="E35" s="55"/>
      <c r="F35" s="20"/>
      <c r="G35" s="20"/>
      <c r="H35" s="20"/>
      <c r="I35" s="21"/>
      <c r="J35" s="21"/>
      <c r="K35" s="20"/>
      <c r="L35" s="22"/>
      <c r="M35" s="23"/>
      <c r="N35" s="19"/>
      <c r="O35" s="19"/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20"/>
      <c r="G36" s="20"/>
      <c r="H36" s="20"/>
      <c r="I36" s="21"/>
      <c r="J36" s="21"/>
      <c r="K36" s="20"/>
      <c r="L36" s="22"/>
      <c r="M36" s="2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2282.54545454545</v>
      </c>
      <c r="I39" s="42"/>
      <c r="J39" s="49" t="n">
        <f aca="false">SUM(J31:J38)</f>
        <v>2028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49</v>
      </c>
      <c r="E40" s="55" t="s">
        <v>72</v>
      </c>
      <c r="F40" s="19" t="n">
        <f aca="false">60/18*8*60</f>
        <v>1600</v>
      </c>
      <c r="G40" s="20" t="n">
        <f aca="false">F40/8</f>
        <v>200</v>
      </c>
      <c r="H40" s="20" t="n">
        <f aca="false">G40*I40</f>
        <v>700</v>
      </c>
      <c r="I40" s="21" t="n">
        <v>3.5</v>
      </c>
      <c r="J40" s="21" t="n">
        <v>568</v>
      </c>
      <c r="K40" s="20" t="n">
        <f aca="false">J40/H40*100</f>
        <v>81.1428571428571</v>
      </c>
      <c r="L40" s="20"/>
      <c r="M40" s="25"/>
      <c r="N40" s="20" t="n">
        <v>1</v>
      </c>
      <c r="O40" s="20" t="n">
        <v>1</v>
      </c>
      <c r="P40" s="61" t="s">
        <v>53</v>
      </c>
    </row>
    <row r="41" customFormat="false" ht="22.5" hidden="false" customHeight="false" outlineLevel="0" collapsed="false">
      <c r="B41" s="45"/>
      <c r="C41" s="60"/>
      <c r="D41" s="54" t="s">
        <v>34</v>
      </c>
      <c r="E41" s="55" t="s">
        <v>111</v>
      </c>
      <c r="F41" s="19" t="n">
        <f aca="false">60/15*8*60</f>
        <v>1920</v>
      </c>
      <c r="G41" s="20" t="n">
        <f aca="false">F41/8</f>
        <v>240</v>
      </c>
      <c r="H41" s="20" t="n">
        <f aca="false">G41*I41</f>
        <v>1440</v>
      </c>
      <c r="I41" s="21" t="n">
        <v>6</v>
      </c>
      <c r="J41" s="21" t="n">
        <v>1290</v>
      </c>
      <c r="K41" s="20" t="n">
        <f aca="false">J41/H41*100</f>
        <v>89.5833333333333</v>
      </c>
      <c r="L41" s="20" t="n">
        <v>20</v>
      </c>
      <c r="M41" s="59" t="s">
        <v>148</v>
      </c>
      <c r="N41" s="19" t="n">
        <v>1</v>
      </c>
      <c r="O41" s="19" t="n">
        <v>0</v>
      </c>
      <c r="P41" s="61"/>
    </row>
    <row r="42" customFormat="false" ht="15" hidden="false" customHeight="false" outlineLevel="0" collapsed="false">
      <c r="B42" s="45"/>
      <c r="C42" s="60"/>
      <c r="D42" s="54" t="s">
        <v>34</v>
      </c>
      <c r="E42" s="55" t="s">
        <v>111</v>
      </c>
      <c r="F42" s="19" t="n">
        <f aca="false">60/15*8*60</f>
        <v>1920</v>
      </c>
      <c r="G42" s="20" t="n">
        <f aca="false">F42/8</f>
        <v>240</v>
      </c>
      <c r="H42" s="20" t="n">
        <f aca="false">G42*I42</f>
        <v>1440</v>
      </c>
      <c r="I42" s="21" t="n">
        <v>6</v>
      </c>
      <c r="J42" s="21" t="n">
        <v>1200</v>
      </c>
      <c r="K42" s="20" t="n">
        <f aca="false">J42/H42*100</f>
        <v>83.3333333333333</v>
      </c>
      <c r="L42" s="22"/>
      <c r="M42" s="59"/>
      <c r="N42" s="19" t="n">
        <v>1</v>
      </c>
      <c r="O42" s="19" t="n">
        <v>0</v>
      </c>
      <c r="P42" s="61"/>
    </row>
    <row r="43" customFormat="false" ht="15" hidden="false" customHeight="false" outlineLevel="0" collapsed="false">
      <c r="B43" s="45"/>
      <c r="C43" s="60"/>
      <c r="D43" s="54"/>
      <c r="E43" s="55"/>
      <c r="F43" s="19"/>
      <c r="G43" s="20"/>
      <c r="H43" s="20"/>
      <c r="I43" s="21"/>
      <c r="J43" s="21"/>
      <c r="K43" s="20"/>
      <c r="L43" s="20"/>
      <c r="M43" s="25"/>
      <c r="N43" s="20"/>
      <c r="O43" s="20"/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19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19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3580</v>
      </c>
      <c r="I47" s="63"/>
      <c r="J47" s="41" t="n">
        <f aca="false">SUM(J40:J46)</f>
        <v>3058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47</v>
      </c>
      <c r="E48" s="55" t="s">
        <v>72</v>
      </c>
      <c r="F48" s="19" t="n">
        <f aca="false">60/18*8*60</f>
        <v>1600</v>
      </c>
      <c r="G48" s="20" t="n">
        <f aca="false">F48/8</f>
        <v>200</v>
      </c>
      <c r="H48" s="20" t="n">
        <f aca="false">G48*I48</f>
        <v>200</v>
      </c>
      <c r="I48" s="21" t="n">
        <v>1</v>
      </c>
      <c r="J48" s="21" t="n">
        <v>140</v>
      </c>
      <c r="K48" s="20" t="n">
        <f aca="false">J48/H48*100</f>
        <v>70</v>
      </c>
      <c r="L48" s="20"/>
      <c r="M48" s="25"/>
      <c r="N48" s="20" t="n">
        <v>1</v>
      </c>
      <c r="O48" s="20" t="n">
        <v>1</v>
      </c>
      <c r="P48" s="61" t="s">
        <v>60</v>
      </c>
    </row>
    <row r="49" customFormat="false" ht="22.5" hidden="false" customHeight="false" outlineLevel="0" collapsed="false">
      <c r="B49" s="45"/>
      <c r="C49" s="64"/>
      <c r="D49" s="54" t="s">
        <v>34</v>
      </c>
      <c r="E49" s="55" t="s">
        <v>196</v>
      </c>
      <c r="F49" s="19" t="n">
        <f aca="false">60/20*8*60</f>
        <v>1440</v>
      </c>
      <c r="G49" s="20" t="n">
        <f aca="false">F49/8</f>
        <v>180</v>
      </c>
      <c r="H49" s="20" t="n">
        <f aca="false">G49*I49</f>
        <v>540</v>
      </c>
      <c r="I49" s="21" t="n">
        <v>3</v>
      </c>
      <c r="J49" s="21" t="n">
        <f aca="false">136+336</f>
        <v>472</v>
      </c>
      <c r="K49" s="20" t="n">
        <f aca="false">J49/H49*100</f>
        <v>87.4074074074074</v>
      </c>
      <c r="L49" s="20" t="n">
        <v>20</v>
      </c>
      <c r="M49" s="59" t="s">
        <v>148</v>
      </c>
      <c r="N49" s="19" t="n">
        <v>1</v>
      </c>
      <c r="O49" s="19" t="n">
        <v>3</v>
      </c>
      <c r="P49" s="61"/>
    </row>
    <row r="50" customFormat="false" ht="15" hidden="false" customHeight="false" outlineLevel="0" collapsed="false">
      <c r="B50" s="45"/>
      <c r="C50" s="64"/>
      <c r="D50" s="54" t="s">
        <v>85</v>
      </c>
      <c r="E50" s="55" t="s">
        <v>197</v>
      </c>
      <c r="F50" s="19" t="n">
        <f aca="false">60/30*8*60</f>
        <v>960</v>
      </c>
      <c r="G50" s="20" t="n">
        <f aca="false">F50/8</f>
        <v>120</v>
      </c>
      <c r="H50" s="20" t="n">
        <f aca="false">G50*I50</f>
        <v>480</v>
      </c>
      <c r="I50" s="21" t="n">
        <v>4</v>
      </c>
      <c r="J50" s="21" t="n">
        <v>369</v>
      </c>
      <c r="K50" s="20" t="n">
        <f aca="false">J50/H50*100</f>
        <v>76.875</v>
      </c>
      <c r="L50" s="22"/>
      <c r="M50" s="59"/>
      <c r="N50" s="19" t="n">
        <v>1</v>
      </c>
      <c r="O50" s="19" t="n">
        <v>3</v>
      </c>
      <c r="P50" s="61"/>
    </row>
    <row r="51" customFormat="false" ht="15" hidden="false" customHeight="false" outlineLevel="0" collapsed="false">
      <c r="B51" s="45"/>
      <c r="C51" s="64"/>
      <c r="D51" s="54" t="s">
        <v>34</v>
      </c>
      <c r="E51" s="55" t="s">
        <v>111</v>
      </c>
      <c r="F51" s="19" t="n">
        <f aca="false">60/15*8*60</f>
        <v>1920</v>
      </c>
      <c r="G51" s="20" t="n">
        <f aca="false">F51/8</f>
        <v>240</v>
      </c>
      <c r="H51" s="20" t="n">
        <f aca="false">G51*I51</f>
        <v>1440</v>
      </c>
      <c r="I51" s="21" t="n">
        <v>6</v>
      </c>
      <c r="J51" s="21" t="n">
        <v>1200</v>
      </c>
      <c r="K51" s="20" t="n">
        <f aca="false">J51/H51*100</f>
        <v>83.3333333333333</v>
      </c>
      <c r="L51" s="20"/>
      <c r="M51" s="25"/>
      <c r="N51" s="20" t="n">
        <v>1</v>
      </c>
      <c r="O51" s="20" t="n">
        <v>1</v>
      </c>
      <c r="P51" s="61"/>
    </row>
    <row r="52" customFormat="false" ht="15" hidden="false" customHeight="false" outlineLevel="0" collapsed="false">
      <c r="B52" s="45"/>
      <c r="C52" s="64"/>
      <c r="D52" s="54" t="s">
        <v>85</v>
      </c>
      <c r="E52" s="55" t="s">
        <v>191</v>
      </c>
      <c r="F52" s="19" t="n">
        <f aca="false">60/40*8*60</f>
        <v>720</v>
      </c>
      <c r="G52" s="20" t="n">
        <f aca="false">F52/8</f>
        <v>90</v>
      </c>
      <c r="H52" s="20" t="n">
        <f aca="false">G52*I52</f>
        <v>90</v>
      </c>
      <c r="I52" s="21" t="n">
        <v>1</v>
      </c>
      <c r="J52" s="21" t="n">
        <v>77</v>
      </c>
      <c r="K52" s="20" t="n">
        <f aca="false">J52/H52*100</f>
        <v>85.5555555555556</v>
      </c>
      <c r="L52" s="20"/>
      <c r="M52" s="25"/>
      <c r="N52" s="19" t="n">
        <v>1</v>
      </c>
      <c r="O52" s="19" t="n">
        <v>3</v>
      </c>
      <c r="P52" s="61"/>
    </row>
    <row r="53" customFormat="false" ht="15" hidden="false" customHeight="false" outlineLevel="0" collapsed="false">
      <c r="B53" s="45"/>
      <c r="C53" s="64"/>
      <c r="D53" s="54" t="s">
        <v>109</v>
      </c>
      <c r="E53" s="55" t="s">
        <v>189</v>
      </c>
      <c r="F53" s="19" t="n">
        <f aca="false">60/40*8*60</f>
        <v>720</v>
      </c>
      <c r="G53" s="20" t="n">
        <f aca="false">F53/8</f>
        <v>90</v>
      </c>
      <c r="H53" s="20" t="n">
        <f aca="false">G53*I53</f>
        <v>45</v>
      </c>
      <c r="I53" s="21" t="n">
        <v>0.5</v>
      </c>
      <c r="J53" s="21" t="n">
        <v>37</v>
      </c>
      <c r="K53" s="20" t="n">
        <f aca="false">J53/H53*100</f>
        <v>82.2222222222222</v>
      </c>
      <c r="L53" s="22"/>
      <c r="M53" s="23"/>
      <c r="N53" s="19" t="n">
        <v>1</v>
      </c>
      <c r="O53" s="19" t="n">
        <v>3</v>
      </c>
      <c r="P53" s="61"/>
    </row>
    <row r="54" customFormat="false" ht="15" hidden="false" customHeight="false" outlineLevel="0" collapsed="false">
      <c r="B54" s="45"/>
      <c r="C54" s="64"/>
      <c r="D54" s="54" t="s">
        <v>47</v>
      </c>
      <c r="E54" s="55" t="s">
        <v>72</v>
      </c>
      <c r="F54" s="19" t="n">
        <f aca="false">60/18*8*60</f>
        <v>1600</v>
      </c>
      <c r="G54" s="19" t="n">
        <f aca="false">F54/8</f>
        <v>200</v>
      </c>
      <c r="H54" s="19" t="n">
        <f aca="false">G54*I54</f>
        <v>400</v>
      </c>
      <c r="I54" s="21" t="n">
        <v>2</v>
      </c>
      <c r="J54" s="21" t="n">
        <v>350</v>
      </c>
      <c r="K54" s="20" t="n">
        <f aca="false">J54/H54*100</f>
        <v>87.5</v>
      </c>
      <c r="L54" s="22"/>
      <c r="M54" s="23"/>
      <c r="N54" s="65" t="n">
        <v>1</v>
      </c>
      <c r="O54" s="65" t="n">
        <v>1</v>
      </c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3195</v>
      </c>
      <c r="I55" s="42"/>
      <c r="J55" s="41" t="n">
        <f aca="false">SUM(J48:J54)</f>
        <v>2645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1080</v>
      </c>
      <c r="I56" s="21" t="n">
        <v>3</v>
      </c>
      <c r="J56" s="21" t="n">
        <v>800</v>
      </c>
      <c r="K56" s="20" t="n">
        <f aca="false">J56/H56*100</f>
        <v>74.0740740740741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1080</v>
      </c>
      <c r="I58" s="69"/>
      <c r="J58" s="29" t="n">
        <f aca="false">SUM(J56:J57)</f>
        <v>800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/>
      <c r="E59" s="39"/>
      <c r="F59" s="19"/>
      <c r="G59" s="20"/>
      <c r="H59" s="20"/>
      <c r="I59" s="21"/>
      <c r="J59" s="21"/>
      <c r="K59" s="20"/>
      <c r="L59" s="20"/>
      <c r="M59" s="25"/>
      <c r="N59" s="19"/>
      <c r="O59" s="19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72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450</v>
      </c>
      <c r="I62" s="72" t="n">
        <v>2.5</v>
      </c>
      <c r="J62" s="72" t="n">
        <v>380</v>
      </c>
      <c r="K62" s="19" t="n">
        <f aca="false">J62/H62*100</f>
        <v>84.4444444444444</v>
      </c>
      <c r="L62" s="19"/>
      <c r="M62" s="68" t="s">
        <v>68</v>
      </c>
      <c r="N62" s="19" t="n">
        <v>1</v>
      </c>
      <c r="O62" s="19" t="n">
        <v>3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112</v>
      </c>
      <c r="F63" s="19" t="n">
        <f aca="false">60/20*8*60</f>
        <v>1440</v>
      </c>
      <c r="G63" s="19" t="n">
        <f aca="false">F63/8</f>
        <v>180</v>
      </c>
      <c r="H63" s="19" t="n">
        <f aca="false">G63*I63</f>
        <v>360</v>
      </c>
      <c r="I63" s="72" t="n">
        <v>2</v>
      </c>
      <c r="J63" s="72" t="n">
        <v>258</v>
      </c>
      <c r="K63" s="19" t="n">
        <f aca="false">J63/H63*100</f>
        <v>71.6666666666667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 t="s">
        <v>67</v>
      </c>
      <c r="E64" s="19" t="s">
        <v>111</v>
      </c>
      <c r="F64" s="19" t="n">
        <f aca="false">60/10*8*60</f>
        <v>2880</v>
      </c>
      <c r="G64" s="19" t="n">
        <f aca="false">F64/8</f>
        <v>360</v>
      </c>
      <c r="H64" s="19" t="n">
        <f aca="false">G64*I64</f>
        <v>1440</v>
      </c>
      <c r="I64" s="72" t="n">
        <v>4</v>
      </c>
      <c r="J64" s="72" t="n">
        <v>1200</v>
      </c>
      <c r="K64" s="19" t="n">
        <f aca="false">J64/H64*100</f>
        <v>83.3333333333333</v>
      </c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2250</v>
      </c>
      <c r="I65" s="30"/>
      <c r="J65" s="29" t="n">
        <f aca="false">SUM(J62:J64)</f>
        <v>1838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85" t="s">
        <v>71</v>
      </c>
      <c r="E66" s="86" t="s">
        <v>112</v>
      </c>
      <c r="F66" s="19" t="n">
        <f aca="false">60/20*8*60</f>
        <v>1440</v>
      </c>
      <c r="G66" s="19" t="n">
        <f aca="false">F66/8</f>
        <v>180</v>
      </c>
      <c r="H66" s="19" t="n">
        <f aca="false">G66*I66</f>
        <v>540</v>
      </c>
      <c r="I66" s="72" t="n">
        <v>3</v>
      </c>
      <c r="J66" s="72" t="n">
        <v>478</v>
      </c>
      <c r="K66" s="19" t="n">
        <f aca="false">J66/H66*100</f>
        <v>88.5185185185185</v>
      </c>
      <c r="L66" s="22"/>
      <c r="M66" s="23"/>
      <c r="N66" s="20" t="n">
        <v>1</v>
      </c>
      <c r="O66" s="20" t="n">
        <v>1</v>
      </c>
      <c r="P66" s="58" t="s">
        <v>74</v>
      </c>
    </row>
    <row r="67" customFormat="false" ht="15" hidden="false" customHeight="false" outlineLevel="0" collapsed="false">
      <c r="B67" s="15"/>
      <c r="C67" s="37"/>
      <c r="D67" s="54"/>
      <c r="E67" s="55"/>
      <c r="F67" s="19"/>
      <c r="G67" s="19"/>
      <c r="H67" s="20"/>
      <c r="I67" s="21"/>
      <c r="J67" s="21"/>
      <c r="K67" s="20"/>
      <c r="L67" s="20"/>
      <c r="M67" s="25"/>
      <c r="N67" s="20"/>
      <c r="O67" s="20"/>
      <c r="P67" s="58"/>
    </row>
    <row r="68" customFormat="false" ht="15" hidden="false" customHeight="false" outlineLevel="0" collapsed="false">
      <c r="B68" s="15"/>
      <c r="C68" s="37"/>
      <c r="D68" s="54"/>
      <c r="E68" s="55"/>
      <c r="F68" s="19"/>
      <c r="G68" s="19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35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540</v>
      </c>
      <c r="I70" s="75"/>
      <c r="J70" s="41" t="n">
        <f aca="false">SUM(J66:J69)</f>
        <v>478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17109.5454545455</v>
      </c>
      <c r="I71" s="79" t="s">
        <v>25</v>
      </c>
      <c r="J71" s="78" t="n">
        <f aca="false">J9+J12+J15+J18+J30+J39+J47+J55+J58+J61+J65+J70+J21</f>
        <v>14404</v>
      </c>
      <c r="K71" s="80" t="n">
        <f aca="false">J71/H71</f>
        <v>0.841869238330544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L67" activeCellId="0" sqref="L67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198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199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23.25" hidden="false" customHeight="true" outlineLevel="0" collapsed="false">
      <c r="B6" s="15" t="n">
        <v>1</v>
      </c>
      <c r="C6" s="16" t="s">
        <v>20</v>
      </c>
      <c r="D6" s="17" t="s">
        <v>21</v>
      </c>
      <c r="E6" s="18" t="s">
        <v>35</v>
      </c>
      <c r="F6" s="20" t="n">
        <f aca="false">60/50*8*60</f>
        <v>576</v>
      </c>
      <c r="G6" s="20" t="n">
        <f aca="false">F6/8</f>
        <v>72</v>
      </c>
      <c r="H6" s="20" t="n">
        <f aca="false">G6*I6</f>
        <v>468</v>
      </c>
      <c r="I6" s="21" t="n">
        <v>6.5</v>
      </c>
      <c r="J6" s="21" t="n">
        <v>420</v>
      </c>
      <c r="K6" s="20" t="n">
        <f aca="false">J6/H6*100</f>
        <v>89.7435897435898</v>
      </c>
      <c r="L6" s="20" t="n">
        <v>20</v>
      </c>
      <c r="M6" s="59" t="s">
        <v>148</v>
      </c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20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468</v>
      </c>
      <c r="I9" s="30"/>
      <c r="J9" s="29" t="n">
        <f aca="false">SUM(J6:J8)</f>
        <v>420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/>
      <c r="E13" s="18"/>
      <c r="F13" s="19"/>
      <c r="G13" s="20"/>
      <c r="H13" s="20"/>
      <c r="I13" s="21"/>
      <c r="J13" s="21"/>
      <c r="K13" s="20"/>
      <c r="L13" s="22"/>
      <c r="M13" s="23"/>
      <c r="N13" s="19"/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0</v>
      </c>
      <c r="I15" s="42"/>
      <c r="J15" s="41" t="n">
        <f aca="false">SUM(J13:J14)</f>
        <v>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54"/>
      <c r="E19" s="55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54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22.5" hidden="false" customHeight="true" outlineLevel="0" collapsed="false">
      <c r="B22" s="50" t="n">
        <v>6</v>
      </c>
      <c r="C22" s="53" t="s">
        <v>36</v>
      </c>
      <c r="D22" s="54" t="s">
        <v>52</v>
      </c>
      <c r="E22" s="55" t="s">
        <v>127</v>
      </c>
      <c r="F22" s="19" t="n">
        <f aca="false">60/18*8*60</f>
        <v>1600</v>
      </c>
      <c r="G22" s="20" t="n">
        <f aca="false">F22/8</f>
        <v>200</v>
      </c>
      <c r="H22" s="20" t="n">
        <f aca="false">G22*I22</f>
        <v>800</v>
      </c>
      <c r="I22" s="21" t="n">
        <v>4</v>
      </c>
      <c r="J22" s="21" t="n">
        <v>710</v>
      </c>
      <c r="K22" s="20" t="n">
        <f aca="false">J22/H22*100</f>
        <v>88.75</v>
      </c>
      <c r="L22" s="22" t="n">
        <v>10</v>
      </c>
      <c r="M22" s="38" t="s">
        <v>200</v>
      </c>
      <c r="N22" s="19" t="n">
        <v>1</v>
      </c>
      <c r="O22" s="19" t="n">
        <v>1</v>
      </c>
      <c r="P22" s="56" t="s">
        <v>39</v>
      </c>
    </row>
    <row r="23" customFormat="false" ht="22.5" hidden="false" customHeight="false" outlineLevel="0" collapsed="false">
      <c r="B23" s="50"/>
      <c r="C23" s="53"/>
      <c r="D23" s="54" t="s">
        <v>28</v>
      </c>
      <c r="E23" s="55" t="s">
        <v>201</v>
      </c>
      <c r="F23" s="19" t="n">
        <f aca="false">60/10*8*60</f>
        <v>2880</v>
      </c>
      <c r="G23" s="20" t="n">
        <f aca="false">F23/8</f>
        <v>360</v>
      </c>
      <c r="H23" s="20" t="n">
        <f aca="false">G23*I23</f>
        <v>1440</v>
      </c>
      <c r="I23" s="21" t="n">
        <v>4</v>
      </c>
      <c r="J23" s="21" t="n">
        <v>1210</v>
      </c>
      <c r="K23" s="20" t="n">
        <f aca="false">J23/H23*100</f>
        <v>84.0277777777778</v>
      </c>
      <c r="L23" s="22" t="n">
        <v>20</v>
      </c>
      <c r="M23" s="83" t="s">
        <v>148</v>
      </c>
      <c r="N23" s="19" t="n">
        <v>1</v>
      </c>
      <c r="O23" s="19" t="n">
        <v>2</v>
      </c>
      <c r="P23" s="56"/>
    </row>
    <row r="24" customFormat="false" ht="15" hidden="false" customHeight="false" outlineLevel="0" collapsed="false">
      <c r="B24" s="50"/>
      <c r="C24" s="53"/>
      <c r="D24" s="54" t="s">
        <v>71</v>
      </c>
      <c r="E24" s="55" t="s">
        <v>176</v>
      </c>
      <c r="F24" s="19" t="n">
        <f aca="false">60/20*8*60</f>
        <v>1440</v>
      </c>
      <c r="G24" s="20" t="n">
        <f aca="false">F24/8</f>
        <v>180</v>
      </c>
      <c r="H24" s="20" t="n">
        <f aca="false">G24*I24</f>
        <v>720</v>
      </c>
      <c r="I24" s="21" t="n">
        <v>4</v>
      </c>
      <c r="J24" s="21" t="n">
        <v>600</v>
      </c>
      <c r="K24" s="20" t="n">
        <f aca="false">J24/H24*100</f>
        <v>83.3333333333333</v>
      </c>
      <c r="L24" s="22"/>
      <c r="M24" s="38"/>
      <c r="N24" s="19" t="n">
        <v>1</v>
      </c>
      <c r="O24" s="19" t="n">
        <v>0</v>
      </c>
      <c r="P24" s="56"/>
    </row>
    <row r="25" customFormat="false" ht="15" hidden="false" customHeight="false" outlineLevel="0" collapsed="false">
      <c r="B25" s="50"/>
      <c r="C25" s="53"/>
      <c r="D25" s="54"/>
      <c r="E25" s="55"/>
      <c r="F25" s="19"/>
      <c r="G25" s="20"/>
      <c r="H25" s="20"/>
      <c r="I25" s="21"/>
      <c r="J25" s="21"/>
      <c r="K25" s="20"/>
      <c r="L25" s="22"/>
      <c r="M25" s="38"/>
      <c r="N25" s="19"/>
      <c r="O25" s="19"/>
      <c r="P25" s="56"/>
    </row>
    <row r="26" customFormat="false" ht="15" hidden="false" customHeight="false" outlineLevel="0" collapsed="false">
      <c r="B26" s="50"/>
      <c r="C26" s="53"/>
      <c r="D26" s="54"/>
      <c r="E26" s="55"/>
      <c r="F26" s="19"/>
      <c r="G26" s="20"/>
      <c r="H26" s="20"/>
      <c r="I26" s="21"/>
      <c r="J26" s="21"/>
      <c r="K26" s="20"/>
      <c r="L26" s="22"/>
      <c r="M26" s="23"/>
      <c r="N26" s="19"/>
      <c r="O26" s="19"/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2960</v>
      </c>
      <c r="I30" s="30"/>
      <c r="J30" s="29" t="n">
        <f aca="false">SUM(J22:J29)</f>
        <v>2520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202</v>
      </c>
      <c r="E31" s="55" t="s">
        <v>35</v>
      </c>
      <c r="F31" s="20" t="n">
        <f aca="false">60/25*8*60</f>
        <v>1152</v>
      </c>
      <c r="G31" s="20" t="n">
        <f aca="false">F31/8</f>
        <v>144</v>
      </c>
      <c r="H31" s="20" t="n">
        <f aca="false">G31*I31</f>
        <v>288</v>
      </c>
      <c r="I31" s="21" t="n">
        <v>2</v>
      </c>
      <c r="J31" s="21" t="n">
        <v>210</v>
      </c>
      <c r="K31" s="20" t="n">
        <f aca="false">J31/H31*100</f>
        <v>72.9166666666667</v>
      </c>
      <c r="L31" s="22"/>
      <c r="M31" s="23"/>
      <c r="N31" s="19" t="n">
        <v>1</v>
      </c>
      <c r="O31" s="19" t="n">
        <v>1</v>
      </c>
      <c r="P31" s="58" t="s">
        <v>44</v>
      </c>
    </row>
    <row r="32" customFormat="false" ht="15" hidden="false" customHeight="false" outlineLevel="0" collapsed="false">
      <c r="B32" s="15"/>
      <c r="C32" s="16"/>
      <c r="D32" s="54" t="s">
        <v>100</v>
      </c>
      <c r="E32" s="55" t="s">
        <v>35</v>
      </c>
      <c r="F32" s="20" t="n">
        <f aca="false">60/25*8*60</f>
        <v>1152</v>
      </c>
      <c r="G32" s="20" t="n">
        <f aca="false">F32/8</f>
        <v>144</v>
      </c>
      <c r="H32" s="20" t="n">
        <f aca="false">G32*I32</f>
        <v>288</v>
      </c>
      <c r="I32" s="21" t="n">
        <v>2</v>
      </c>
      <c r="J32" s="21" t="n">
        <v>210</v>
      </c>
      <c r="K32" s="20" t="n">
        <f aca="false">J32/H32*100</f>
        <v>72.9166666666667</v>
      </c>
      <c r="L32" s="20"/>
      <c r="M32" s="84"/>
      <c r="N32" s="19" t="n">
        <v>1</v>
      </c>
      <c r="O32" s="19" t="n">
        <v>1</v>
      </c>
      <c r="P32" s="58"/>
    </row>
    <row r="33" customFormat="false" ht="22.5" hidden="false" customHeight="false" outlineLevel="0" collapsed="false">
      <c r="B33" s="15"/>
      <c r="C33" s="16"/>
      <c r="D33" s="54" t="s">
        <v>21</v>
      </c>
      <c r="E33" s="55" t="s">
        <v>203</v>
      </c>
      <c r="F33" s="20" t="n">
        <f aca="false">60/40*8*60</f>
        <v>720</v>
      </c>
      <c r="G33" s="20" t="n">
        <f aca="false">F33/8</f>
        <v>90</v>
      </c>
      <c r="H33" s="20" t="n">
        <f aca="false">G33*I33</f>
        <v>315</v>
      </c>
      <c r="I33" s="21" t="n">
        <v>3.5</v>
      </c>
      <c r="J33" s="21" t="n">
        <f aca="false">102+82+79</f>
        <v>263</v>
      </c>
      <c r="K33" s="20" t="n">
        <f aca="false">J33/H33*100</f>
        <v>83.4920634920635</v>
      </c>
      <c r="L33" s="20" t="n">
        <v>20</v>
      </c>
      <c r="M33" s="83" t="s">
        <v>148</v>
      </c>
      <c r="N33" s="20" t="n">
        <v>1</v>
      </c>
      <c r="O33" s="20" t="n">
        <v>3</v>
      </c>
      <c r="P33" s="58"/>
    </row>
    <row r="34" customFormat="false" ht="15" hidden="false" customHeight="false" outlineLevel="0" collapsed="false">
      <c r="B34" s="15"/>
      <c r="C34" s="16"/>
      <c r="D34" s="54" t="s">
        <v>102</v>
      </c>
      <c r="E34" s="87" t="s">
        <v>204</v>
      </c>
      <c r="F34" s="20" t="n">
        <f aca="false">60/40*8*60</f>
        <v>720</v>
      </c>
      <c r="G34" s="20" t="n">
        <f aca="false">F34/8</f>
        <v>90</v>
      </c>
      <c r="H34" s="20" t="n">
        <f aca="false">G34*I34</f>
        <v>135</v>
      </c>
      <c r="I34" s="21" t="n">
        <v>1.5</v>
      </c>
      <c r="J34" s="20" t="n">
        <f aca="false">47+63</f>
        <v>110</v>
      </c>
      <c r="K34" s="20" t="n">
        <f aca="false">J34/H34*100</f>
        <v>81.4814814814815</v>
      </c>
      <c r="L34" s="22"/>
      <c r="M34" s="23"/>
      <c r="N34" s="19" t="n">
        <v>1</v>
      </c>
      <c r="O34" s="19" t="n">
        <v>3</v>
      </c>
      <c r="P34" s="58"/>
    </row>
    <row r="35" customFormat="false" ht="15" hidden="false" customHeight="false" outlineLevel="0" collapsed="false">
      <c r="B35" s="15"/>
      <c r="C35" s="16"/>
      <c r="D35" s="54" t="s">
        <v>102</v>
      </c>
      <c r="E35" s="55" t="s">
        <v>205</v>
      </c>
      <c r="F35" s="20" t="n">
        <f aca="false">60/40*8*60</f>
        <v>720</v>
      </c>
      <c r="G35" s="20" t="n">
        <f aca="false">F35/8</f>
        <v>90</v>
      </c>
      <c r="H35" s="20" t="n">
        <f aca="false">G35*I35</f>
        <v>90</v>
      </c>
      <c r="I35" s="21" t="n">
        <v>1</v>
      </c>
      <c r="J35" s="20" t="n">
        <f aca="false">30+24</f>
        <v>54</v>
      </c>
      <c r="K35" s="20" t="n">
        <f aca="false">J35/H35*100</f>
        <v>60</v>
      </c>
      <c r="L35" s="22"/>
      <c r="M35" s="23"/>
      <c r="N35" s="19" t="n">
        <v>1</v>
      </c>
      <c r="O35" s="19" t="n">
        <v>3</v>
      </c>
      <c r="P35" s="58"/>
    </row>
    <row r="36" customFormat="false" ht="22.5" hidden="false" customHeight="false" outlineLevel="0" collapsed="false">
      <c r="B36" s="15"/>
      <c r="C36" s="16"/>
      <c r="D36" s="54" t="s">
        <v>47</v>
      </c>
      <c r="E36" s="55" t="s">
        <v>112</v>
      </c>
      <c r="F36" s="20" t="n">
        <f aca="false">60/30*8*60</f>
        <v>960</v>
      </c>
      <c r="G36" s="20" t="n">
        <f aca="false">F36/8</f>
        <v>120</v>
      </c>
      <c r="H36" s="20" t="n">
        <f aca="false">G36*I36</f>
        <v>300</v>
      </c>
      <c r="I36" s="21" t="n">
        <v>2.5</v>
      </c>
      <c r="J36" s="20" t="n">
        <v>250</v>
      </c>
      <c r="K36" s="20" t="n">
        <f aca="false">J36/H36*100</f>
        <v>83.3333333333333</v>
      </c>
      <c r="L36" s="22" t="n">
        <v>20</v>
      </c>
      <c r="M36" s="83" t="s">
        <v>148</v>
      </c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1416</v>
      </c>
      <c r="I39" s="42"/>
      <c r="J39" s="49" t="n">
        <f aca="false">SUM(J31:J38)</f>
        <v>1097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206</v>
      </c>
      <c r="E40" s="55" t="s">
        <v>111</v>
      </c>
      <c r="F40" s="19" t="n">
        <f aca="false">60/12*8*60</f>
        <v>2400</v>
      </c>
      <c r="G40" s="20" t="n">
        <f aca="false">F40/8</f>
        <v>300</v>
      </c>
      <c r="H40" s="20" t="n">
        <f aca="false">G40*I40</f>
        <v>150</v>
      </c>
      <c r="I40" s="21" t="n">
        <v>0.5</v>
      </c>
      <c r="J40" s="21" t="n">
        <v>100</v>
      </c>
      <c r="K40" s="20" t="n">
        <f aca="false">J40/H40*100</f>
        <v>66.6666666666667</v>
      </c>
      <c r="L40" s="22"/>
      <c r="M40" s="59"/>
      <c r="N40" s="19" t="n">
        <v>1</v>
      </c>
      <c r="O40" s="19" t="n">
        <v>0</v>
      </c>
      <c r="P40" s="61" t="s">
        <v>53</v>
      </c>
    </row>
    <row r="41" customFormat="false" ht="22.5" hidden="false" customHeight="false" outlineLevel="0" collapsed="false">
      <c r="B41" s="45"/>
      <c r="C41" s="60"/>
      <c r="D41" s="54" t="s">
        <v>34</v>
      </c>
      <c r="E41" s="55" t="s">
        <v>127</v>
      </c>
      <c r="F41" s="19" t="n">
        <f aca="false">60/12*8*60</f>
        <v>2400</v>
      </c>
      <c r="G41" s="20" t="n">
        <f aca="false">F41/8</f>
        <v>300</v>
      </c>
      <c r="H41" s="20" t="n">
        <f aca="false">G41*I41</f>
        <v>900</v>
      </c>
      <c r="I41" s="21" t="n">
        <v>3</v>
      </c>
      <c r="J41" s="21" t="n">
        <v>710</v>
      </c>
      <c r="K41" s="20" t="n">
        <f aca="false">J41/H41*100</f>
        <v>78.8888888888889</v>
      </c>
      <c r="L41" s="20" t="n">
        <v>20</v>
      </c>
      <c r="M41" s="59" t="s">
        <v>148</v>
      </c>
      <c r="N41" s="19" t="n">
        <v>1</v>
      </c>
      <c r="O41" s="19" t="n">
        <v>0</v>
      </c>
      <c r="P41" s="61"/>
    </row>
    <row r="42" customFormat="false" ht="15" hidden="false" customHeight="false" outlineLevel="0" collapsed="false">
      <c r="B42" s="45"/>
      <c r="C42" s="60"/>
      <c r="D42" s="54" t="s">
        <v>21</v>
      </c>
      <c r="E42" s="55" t="s">
        <v>201</v>
      </c>
      <c r="F42" s="19" t="n">
        <f aca="false">60/20*8*60</f>
        <v>1440</v>
      </c>
      <c r="G42" s="20" t="n">
        <f aca="false">F42/8</f>
        <v>180</v>
      </c>
      <c r="H42" s="20" t="n">
        <f aca="false">G42*I42</f>
        <v>720</v>
      </c>
      <c r="I42" s="21" t="n">
        <v>4</v>
      </c>
      <c r="J42" s="21" t="n">
        <v>610</v>
      </c>
      <c r="K42" s="20" t="n">
        <f aca="false">J42/H42*100</f>
        <v>84.7222222222222</v>
      </c>
      <c r="L42" s="22"/>
      <c r="M42" s="59"/>
      <c r="N42" s="19" t="n">
        <v>1</v>
      </c>
      <c r="O42" s="19" t="n">
        <v>0</v>
      </c>
      <c r="P42" s="61"/>
    </row>
    <row r="43" customFormat="false" ht="15" hidden="false" customHeight="false" outlineLevel="0" collapsed="false">
      <c r="B43" s="45"/>
      <c r="C43" s="60"/>
      <c r="D43" s="54" t="s">
        <v>21</v>
      </c>
      <c r="E43" s="55" t="s">
        <v>55</v>
      </c>
      <c r="F43" s="19" t="n">
        <f aca="false">60/20*8*60</f>
        <v>1440</v>
      </c>
      <c r="G43" s="20" t="n">
        <f aca="false">F43/8</f>
        <v>180</v>
      </c>
      <c r="H43" s="20" t="n">
        <f aca="false">G43*I43</f>
        <v>360</v>
      </c>
      <c r="I43" s="21" t="n">
        <v>2</v>
      </c>
      <c r="J43" s="21" t="n">
        <v>300</v>
      </c>
      <c r="K43" s="20" t="n">
        <f aca="false">J43/H43*100</f>
        <v>83.3333333333333</v>
      </c>
      <c r="L43" s="22"/>
      <c r="M43" s="59"/>
      <c r="N43" s="19" t="n">
        <v>1</v>
      </c>
      <c r="O43" s="19" t="n">
        <v>0</v>
      </c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19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19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2130</v>
      </c>
      <c r="I47" s="63"/>
      <c r="J47" s="41" t="n">
        <f aca="false">SUM(J40:J46)</f>
        <v>1720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34</v>
      </c>
      <c r="E48" s="55" t="s">
        <v>111</v>
      </c>
      <c r="F48" s="19" t="n">
        <f aca="false">60/15*8*60</f>
        <v>1920</v>
      </c>
      <c r="G48" s="20" t="n">
        <f aca="false">F48/8</f>
        <v>240</v>
      </c>
      <c r="H48" s="20" t="n">
        <f aca="false">G48*I48</f>
        <v>120</v>
      </c>
      <c r="I48" s="21" t="n">
        <v>0.5</v>
      </c>
      <c r="J48" s="21" t="n">
        <v>100</v>
      </c>
      <c r="K48" s="20" t="n">
        <f aca="false">J48/H48*100</f>
        <v>83.3333333333333</v>
      </c>
      <c r="L48" s="20"/>
      <c r="M48" s="25"/>
      <c r="N48" s="20" t="n">
        <v>1</v>
      </c>
      <c r="O48" s="20" t="n">
        <v>0</v>
      </c>
      <c r="P48" s="61" t="s">
        <v>60</v>
      </c>
    </row>
    <row r="49" customFormat="false" ht="22.5" hidden="false" customHeight="false" outlineLevel="0" collapsed="false">
      <c r="B49" s="45"/>
      <c r="C49" s="64"/>
      <c r="D49" s="54" t="s">
        <v>34</v>
      </c>
      <c r="E49" s="55" t="s">
        <v>176</v>
      </c>
      <c r="F49" s="19" t="n">
        <f aca="false">60/12*8*60</f>
        <v>2400</v>
      </c>
      <c r="G49" s="20" t="n">
        <f aca="false">F49/8</f>
        <v>300</v>
      </c>
      <c r="H49" s="20" t="n">
        <f aca="false">G49*I49</f>
        <v>1200</v>
      </c>
      <c r="I49" s="21" t="n">
        <v>4</v>
      </c>
      <c r="J49" s="21" t="n">
        <v>1050</v>
      </c>
      <c r="K49" s="20" t="n">
        <f aca="false">J49/H49*100</f>
        <v>87.5</v>
      </c>
      <c r="L49" s="20" t="n">
        <v>20</v>
      </c>
      <c r="M49" s="59" t="s">
        <v>148</v>
      </c>
      <c r="N49" s="19" t="n">
        <v>1</v>
      </c>
      <c r="O49" s="19" t="n">
        <v>0</v>
      </c>
      <c r="P49" s="61"/>
    </row>
    <row r="50" customFormat="false" ht="22.5" hidden="false" customHeight="false" outlineLevel="0" collapsed="false">
      <c r="B50" s="45"/>
      <c r="C50" s="64"/>
      <c r="D50" s="54" t="s">
        <v>28</v>
      </c>
      <c r="E50" s="55" t="s">
        <v>55</v>
      </c>
      <c r="F50" s="19" t="n">
        <f aca="false">60/10*8*60</f>
        <v>2880</v>
      </c>
      <c r="G50" s="20" t="n">
        <f aca="false">F50/8</f>
        <v>360</v>
      </c>
      <c r="H50" s="20" t="n">
        <f aca="false">G50*I50</f>
        <v>2880</v>
      </c>
      <c r="I50" s="21" t="n">
        <v>8</v>
      </c>
      <c r="J50" s="21" t="n">
        <v>2500</v>
      </c>
      <c r="K50" s="20" t="n">
        <f aca="false">J50/H50*100</f>
        <v>86.8055555555556</v>
      </c>
      <c r="L50" s="22" t="n">
        <v>20</v>
      </c>
      <c r="M50" s="59" t="s">
        <v>148</v>
      </c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/>
      <c r="E51" s="55"/>
      <c r="F51" s="19"/>
      <c r="G51" s="20"/>
      <c r="H51" s="20"/>
      <c r="I51" s="21"/>
      <c r="J51" s="21"/>
      <c r="K51" s="20"/>
      <c r="L51" s="20"/>
      <c r="M51" s="25"/>
      <c r="N51" s="20"/>
      <c r="O51" s="20"/>
      <c r="P51" s="61"/>
    </row>
    <row r="52" customFormat="false" ht="15" hidden="false" customHeight="false" outlineLevel="0" collapsed="false">
      <c r="B52" s="45"/>
      <c r="C52" s="64"/>
      <c r="D52" s="54"/>
      <c r="E52" s="55"/>
      <c r="F52" s="19"/>
      <c r="G52" s="20"/>
      <c r="H52" s="20"/>
      <c r="I52" s="21"/>
      <c r="J52" s="21"/>
      <c r="K52" s="20"/>
      <c r="L52" s="20"/>
      <c r="M52" s="25"/>
      <c r="N52" s="19"/>
      <c r="O52" s="19"/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54"/>
      <c r="E54" s="55"/>
      <c r="F54" s="19"/>
      <c r="G54" s="19"/>
      <c r="H54" s="19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4200</v>
      </c>
      <c r="I55" s="42"/>
      <c r="J55" s="41" t="n">
        <f aca="false">SUM(J48:J54)</f>
        <v>3650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/>
      <c r="E59" s="39"/>
      <c r="F59" s="19"/>
      <c r="G59" s="20"/>
      <c r="H59" s="20"/>
      <c r="I59" s="21"/>
      <c r="J59" s="21"/>
      <c r="K59" s="20"/>
      <c r="L59" s="20"/>
      <c r="M59" s="25"/>
      <c r="N59" s="19"/>
      <c r="O59" s="19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55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720</v>
      </c>
      <c r="I62" s="72" t="n">
        <v>4</v>
      </c>
      <c r="J62" s="72" t="n">
        <v>520</v>
      </c>
      <c r="K62" s="19" t="n">
        <f aca="false">J62/H62*100</f>
        <v>72.2222222222222</v>
      </c>
      <c r="L62" s="19"/>
      <c r="M62" s="68" t="s">
        <v>68</v>
      </c>
      <c r="N62" s="19" t="n">
        <v>1</v>
      </c>
      <c r="O62" s="19" t="n">
        <v>1</v>
      </c>
      <c r="P62" s="73" t="s">
        <v>69</v>
      </c>
    </row>
    <row r="63" customFormat="false" ht="15" hidden="false" customHeight="false" outlineLevel="0" collapsed="false">
      <c r="B63" s="32"/>
      <c r="C63" s="71"/>
      <c r="D63" s="35" t="s">
        <v>67</v>
      </c>
      <c r="E63" s="20" t="s">
        <v>50</v>
      </c>
      <c r="F63" s="19" t="n">
        <f aca="false">60/10*8*60</f>
        <v>2880</v>
      </c>
      <c r="G63" s="19" t="n">
        <f aca="false">F63/8</f>
        <v>360</v>
      </c>
      <c r="H63" s="19" t="n">
        <f aca="false">G63*I63</f>
        <v>1620</v>
      </c>
      <c r="I63" s="72" t="n">
        <v>4.5</v>
      </c>
      <c r="J63" s="72" t="n">
        <v>1500</v>
      </c>
      <c r="K63" s="19" t="n">
        <f aca="false">J63/H63*100</f>
        <v>92.5925925925926</v>
      </c>
      <c r="L63" s="19"/>
      <c r="M63" s="68"/>
      <c r="N63" s="19" t="n">
        <v>1</v>
      </c>
      <c r="O63" s="19" t="n">
        <v>3</v>
      </c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2340</v>
      </c>
      <c r="I65" s="30"/>
      <c r="J65" s="29" t="n">
        <f aca="false">SUM(J62:J64)</f>
        <v>2020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21" t="s">
        <v>71</v>
      </c>
      <c r="E66" s="86" t="s">
        <v>207</v>
      </c>
      <c r="F66" s="19" t="n">
        <f aca="false">60/10*8*60</f>
        <v>2880</v>
      </c>
      <c r="G66" s="19" t="n">
        <f aca="false">F66/8</f>
        <v>360</v>
      </c>
      <c r="H66" s="19" t="n">
        <f aca="false">G66*I66</f>
        <v>1800</v>
      </c>
      <c r="I66" s="72" t="n">
        <v>5</v>
      </c>
      <c r="J66" s="72" t="n">
        <v>1520</v>
      </c>
      <c r="K66" s="19" t="n">
        <f aca="false">J66/H66*100</f>
        <v>84.4444444444444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85" t="s">
        <v>71</v>
      </c>
      <c r="E67" s="55" t="s">
        <v>208</v>
      </c>
      <c r="F67" s="19" t="n">
        <f aca="false">60/20*8*60</f>
        <v>1440</v>
      </c>
      <c r="G67" s="19" t="n">
        <f aca="false">F67/8</f>
        <v>180</v>
      </c>
      <c r="H67" s="19" t="n">
        <f aca="false">G67*I67</f>
        <v>360</v>
      </c>
      <c r="I67" s="72" t="n">
        <v>2</v>
      </c>
      <c r="J67" s="72" t="n">
        <v>300</v>
      </c>
      <c r="K67" s="19" t="n">
        <f aca="false">J67/H67*100</f>
        <v>83.3333333333333</v>
      </c>
      <c r="L67" s="20"/>
      <c r="M67" s="25"/>
      <c r="N67" s="20" t="n">
        <v>1</v>
      </c>
      <c r="O67" s="20" t="n">
        <v>0</v>
      </c>
      <c r="P67" s="58"/>
    </row>
    <row r="68" customFormat="false" ht="15" hidden="false" customHeight="false" outlineLevel="0" collapsed="false">
      <c r="B68" s="15"/>
      <c r="C68" s="37"/>
      <c r="D68" s="54"/>
      <c r="E68" s="55"/>
      <c r="F68" s="19"/>
      <c r="G68" s="19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35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2160</v>
      </c>
      <c r="I70" s="75"/>
      <c r="J70" s="41" t="n">
        <f aca="false">SUM(J66:J69)</f>
        <v>1820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16934</v>
      </c>
      <c r="I71" s="79" t="s">
        <v>25</v>
      </c>
      <c r="J71" s="78" t="n">
        <f aca="false">J9+J12+J15+J18+J30+J39+J47+J55+J58+J61+J65+J70+J21</f>
        <v>14247</v>
      </c>
      <c r="K71" s="80" t="n">
        <f aca="false">J71/H71</f>
        <v>0.841325144679343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71"/>
  <sheetViews>
    <sheetView showFormulas="false" showGridLines="true" showRowColHeaders="true" showZeros="true" rightToLeft="false" tabSelected="false" showOutlineSymbols="true" defaultGridColor="true" view="normal" topLeftCell="A45" colorId="64" zoomScale="100" zoomScaleNormal="100" zoomScalePageLayoutView="100" workbookViewId="0">
      <selection pane="topLeft" activeCell="L43" activeCellId="0" sqref="L43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209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210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8" t="s">
        <v>22</v>
      </c>
      <c r="F6" s="20" t="n">
        <f aca="false">60/50*8*60</f>
        <v>576</v>
      </c>
      <c r="G6" s="20" t="n">
        <f aca="false">F6/8</f>
        <v>72</v>
      </c>
      <c r="H6" s="20" t="n">
        <f aca="false">G6*I6</f>
        <v>648</v>
      </c>
      <c r="I6" s="21" t="n">
        <v>9</v>
      </c>
      <c r="J6" s="21" t="n">
        <v>570</v>
      </c>
      <c r="K6" s="20" t="n">
        <f aca="false">J6/H6*100</f>
        <v>87.962962962963</v>
      </c>
      <c r="L6" s="20"/>
      <c r="M6" s="59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/>
      <c r="E7" s="18"/>
      <c r="F7" s="20"/>
      <c r="G7" s="20"/>
      <c r="H7" s="20"/>
      <c r="I7" s="21"/>
      <c r="J7" s="21"/>
      <c r="K7" s="20"/>
      <c r="L7" s="20"/>
      <c r="M7" s="25"/>
      <c r="N7" s="19"/>
      <c r="O7" s="19"/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648</v>
      </c>
      <c r="I9" s="30"/>
      <c r="J9" s="29" t="n">
        <f aca="false">SUM(J6:J8)</f>
        <v>570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20" t="n">
        <f aca="false">60/30*8*60</f>
        <v>960</v>
      </c>
      <c r="G13" s="20" t="n">
        <f aca="false">F13/8</f>
        <v>120</v>
      </c>
      <c r="H13" s="20" t="n">
        <f aca="false">G13*I13</f>
        <v>480</v>
      </c>
      <c r="I13" s="21" t="n">
        <v>4</v>
      </c>
      <c r="J13" s="21" t="n">
        <v>400</v>
      </c>
      <c r="K13" s="20" t="n">
        <f aca="false">J13/H13*100</f>
        <v>83.3333333333333</v>
      </c>
      <c r="L13" s="22"/>
      <c r="M13" s="23"/>
      <c r="N13" s="19"/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480</v>
      </c>
      <c r="I15" s="42"/>
      <c r="J15" s="41" t="n">
        <f aca="false">SUM(J13:J14)</f>
        <v>400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54"/>
      <c r="E19" s="55"/>
      <c r="F19" s="19"/>
      <c r="G19" s="20"/>
      <c r="H19" s="20"/>
      <c r="I19" s="21"/>
      <c r="J19" s="21"/>
      <c r="K19" s="20"/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54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0</v>
      </c>
      <c r="I21" s="30"/>
      <c r="J21" s="29" t="n">
        <f aca="false">SUM(J19:J20)</f>
        <v>0</v>
      </c>
      <c r="K21" s="22"/>
      <c r="L21" s="22"/>
      <c r="M21" s="23"/>
      <c r="N21" s="20"/>
      <c r="O21" s="20"/>
      <c r="P21" s="52"/>
    </row>
    <row r="22" customFormat="false" ht="22.5" hidden="false" customHeight="true" outlineLevel="0" collapsed="false">
      <c r="B22" s="50" t="n">
        <v>6</v>
      </c>
      <c r="C22" s="53" t="s">
        <v>36</v>
      </c>
      <c r="D22" s="54" t="s">
        <v>34</v>
      </c>
      <c r="E22" s="55" t="s">
        <v>22</v>
      </c>
      <c r="F22" s="19" t="n">
        <f aca="false">60/20*8*60</f>
        <v>1440</v>
      </c>
      <c r="G22" s="20" t="n">
        <f aca="false">F22/8</f>
        <v>180</v>
      </c>
      <c r="H22" s="20" t="n">
        <f aca="false">G22*I22</f>
        <v>180</v>
      </c>
      <c r="I22" s="21" t="n">
        <v>1</v>
      </c>
      <c r="J22" s="21" t="n">
        <v>141</v>
      </c>
      <c r="K22" s="20" t="n">
        <f aca="false">J22/H22*100</f>
        <v>78.3333333333333</v>
      </c>
      <c r="L22" s="22" t="n">
        <v>10</v>
      </c>
      <c r="M22" s="38" t="s">
        <v>200</v>
      </c>
      <c r="N22" s="19" t="n">
        <v>1</v>
      </c>
      <c r="O22" s="19" t="n">
        <v>1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136</v>
      </c>
      <c r="E23" s="55" t="s">
        <v>126</v>
      </c>
      <c r="F23" s="19" t="n">
        <f aca="false">60/30*8*60</f>
        <v>960</v>
      </c>
      <c r="G23" s="20" t="n">
        <f aca="false">F23/8</f>
        <v>120</v>
      </c>
      <c r="H23" s="20" t="n">
        <f aca="false">G23*I23</f>
        <v>360</v>
      </c>
      <c r="I23" s="21" t="n">
        <v>3</v>
      </c>
      <c r="J23" s="21" t="n">
        <v>283</v>
      </c>
      <c r="K23" s="20" t="n">
        <f aca="false">J23/H23*100</f>
        <v>78.6111111111111</v>
      </c>
      <c r="L23" s="22"/>
      <c r="M23" s="83"/>
      <c r="N23" s="19" t="n">
        <v>1</v>
      </c>
      <c r="O23" s="19" t="n">
        <v>3</v>
      </c>
      <c r="P23" s="56"/>
    </row>
    <row r="24" customFormat="false" ht="22.5" hidden="false" customHeight="false" outlineLevel="0" collapsed="false">
      <c r="B24" s="50"/>
      <c r="C24" s="53"/>
      <c r="D24" s="54" t="s">
        <v>85</v>
      </c>
      <c r="E24" s="55" t="s">
        <v>126</v>
      </c>
      <c r="F24" s="19" t="n">
        <f aca="false">60/30*8*60</f>
        <v>960</v>
      </c>
      <c r="G24" s="20" t="n">
        <f aca="false">F24/8</f>
        <v>120</v>
      </c>
      <c r="H24" s="20" t="n">
        <f aca="false">G24*I24</f>
        <v>360</v>
      </c>
      <c r="I24" s="21" t="n">
        <v>3</v>
      </c>
      <c r="J24" s="21" t="n">
        <v>283</v>
      </c>
      <c r="K24" s="20" t="n">
        <f aca="false">J24/H24*100</f>
        <v>78.6111111111111</v>
      </c>
      <c r="L24" s="22" t="n">
        <v>20</v>
      </c>
      <c r="M24" s="83" t="s">
        <v>148</v>
      </c>
      <c r="N24" s="19" t="n">
        <v>1</v>
      </c>
      <c r="O24" s="19" t="n">
        <v>3</v>
      </c>
      <c r="P24" s="56"/>
    </row>
    <row r="25" customFormat="false" ht="15" hidden="false" customHeight="false" outlineLevel="0" collapsed="false">
      <c r="B25" s="50"/>
      <c r="C25" s="53"/>
      <c r="D25" s="54" t="s">
        <v>109</v>
      </c>
      <c r="E25" s="55" t="s">
        <v>86</v>
      </c>
      <c r="F25" s="19" t="n">
        <f aca="false">60/30*8*60</f>
        <v>960</v>
      </c>
      <c r="G25" s="20" t="n">
        <f aca="false">F25/8</f>
        <v>120</v>
      </c>
      <c r="H25" s="20" t="n">
        <f aca="false">G25*I25</f>
        <v>180</v>
      </c>
      <c r="I25" s="21" t="n">
        <v>1.5</v>
      </c>
      <c r="J25" s="21" t="n">
        <v>160</v>
      </c>
      <c r="K25" s="20" t="n">
        <f aca="false">J25/H25*100</f>
        <v>88.8888888888889</v>
      </c>
      <c r="L25" s="22"/>
      <c r="M25" s="38"/>
      <c r="N25" s="19" t="n">
        <v>1</v>
      </c>
      <c r="O25" s="19" t="n">
        <v>3</v>
      </c>
      <c r="P25" s="56"/>
    </row>
    <row r="26" customFormat="false" ht="15" hidden="false" customHeight="false" outlineLevel="0" collapsed="false">
      <c r="B26" s="50"/>
      <c r="C26" s="53"/>
      <c r="D26" s="54" t="s">
        <v>49</v>
      </c>
      <c r="E26" s="55" t="s">
        <v>72</v>
      </c>
      <c r="F26" s="19" t="n">
        <f aca="false">60/16*8*60</f>
        <v>1800</v>
      </c>
      <c r="G26" s="20" t="n">
        <f aca="false">F26/8</f>
        <v>225</v>
      </c>
      <c r="H26" s="20" t="n">
        <f aca="false">G26*I26</f>
        <v>337.5</v>
      </c>
      <c r="I26" s="21" t="n">
        <v>1.5</v>
      </c>
      <c r="J26" s="21" t="n">
        <v>290</v>
      </c>
      <c r="K26" s="20" t="n">
        <f aca="false">J26/H26*100</f>
        <v>85.9259259259259</v>
      </c>
      <c r="L26" s="22"/>
      <c r="M26" s="23"/>
      <c r="N26" s="19" t="n">
        <v>1</v>
      </c>
      <c r="O26" s="19" t="n">
        <v>1</v>
      </c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1417.5</v>
      </c>
      <c r="I30" s="30"/>
      <c r="J30" s="29" t="n">
        <f aca="false">SUM(J22:J29)</f>
        <v>1157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106</v>
      </c>
      <c r="E31" s="55" t="s">
        <v>112</v>
      </c>
      <c r="F31" s="20" t="n">
        <f aca="false">60/18*8*60</f>
        <v>1600</v>
      </c>
      <c r="G31" s="20" t="n">
        <f aca="false">F31/8</f>
        <v>200</v>
      </c>
      <c r="H31" s="20" t="n">
        <f aca="false">G31*I31</f>
        <v>300</v>
      </c>
      <c r="I31" s="21" t="n">
        <v>1.5</v>
      </c>
      <c r="J31" s="21" t="n">
        <v>254</v>
      </c>
      <c r="K31" s="20" t="n">
        <f aca="false">J31/H31*100</f>
        <v>84.6666666666667</v>
      </c>
      <c r="L31" s="22"/>
      <c r="M31" s="23"/>
      <c r="N31" s="19" t="n">
        <v>1</v>
      </c>
      <c r="O31" s="19" t="n">
        <v>1</v>
      </c>
      <c r="P31" s="58" t="s">
        <v>44</v>
      </c>
    </row>
    <row r="32" customFormat="false" ht="22.5" hidden="false" customHeight="false" outlineLevel="0" collapsed="false">
      <c r="B32" s="15"/>
      <c r="C32" s="16"/>
      <c r="D32" s="54" t="s">
        <v>87</v>
      </c>
      <c r="E32" s="55" t="s">
        <v>22</v>
      </c>
      <c r="F32" s="19" t="n">
        <f aca="false">60/20*8*60</f>
        <v>1440</v>
      </c>
      <c r="G32" s="20" t="n">
        <f aca="false">F32/8</f>
        <v>180</v>
      </c>
      <c r="H32" s="20" t="n">
        <f aca="false">G32*I32</f>
        <v>180</v>
      </c>
      <c r="I32" s="21" t="n">
        <v>1</v>
      </c>
      <c r="J32" s="21" t="n">
        <v>141</v>
      </c>
      <c r="K32" s="20" t="n">
        <f aca="false">J32/H32*100</f>
        <v>78.3333333333333</v>
      </c>
      <c r="L32" s="20" t="n">
        <v>20</v>
      </c>
      <c r="M32" s="83" t="s">
        <v>148</v>
      </c>
      <c r="N32" s="19" t="n">
        <v>1</v>
      </c>
      <c r="O32" s="19" t="n">
        <v>1</v>
      </c>
      <c r="P32" s="58"/>
    </row>
    <row r="33" customFormat="false" ht="15" hidden="false" customHeight="false" outlineLevel="0" collapsed="false">
      <c r="B33" s="15"/>
      <c r="C33" s="16"/>
      <c r="D33" s="54" t="s">
        <v>47</v>
      </c>
      <c r="E33" s="55" t="s">
        <v>72</v>
      </c>
      <c r="F33" s="19" t="n">
        <f aca="false">60/16*8*60</f>
        <v>1800</v>
      </c>
      <c r="G33" s="20" t="n">
        <f aca="false">F33/8</f>
        <v>225</v>
      </c>
      <c r="H33" s="20" t="n">
        <f aca="false">G33*I33</f>
        <v>900</v>
      </c>
      <c r="I33" s="21" t="n">
        <v>4</v>
      </c>
      <c r="J33" s="21" t="n">
        <v>800</v>
      </c>
      <c r="K33" s="20" t="n">
        <f aca="false">J33/H33*100</f>
        <v>88.8888888888889</v>
      </c>
      <c r="L33" s="20"/>
      <c r="M33" s="83"/>
      <c r="N33" s="20" t="n">
        <v>1</v>
      </c>
      <c r="O33" s="20" t="n">
        <v>1</v>
      </c>
      <c r="P33" s="58"/>
    </row>
    <row r="34" customFormat="false" ht="15" hidden="false" customHeight="false" outlineLevel="0" collapsed="false">
      <c r="B34" s="15"/>
      <c r="C34" s="16"/>
      <c r="D34" s="54" t="s">
        <v>71</v>
      </c>
      <c r="E34" s="87" t="s">
        <v>211</v>
      </c>
      <c r="F34" s="19" t="n">
        <f aca="false">60/16*8*60</f>
        <v>1800</v>
      </c>
      <c r="G34" s="20" t="n">
        <f aca="false">F34/8</f>
        <v>225</v>
      </c>
      <c r="H34" s="20" t="n">
        <f aca="false">G34*I34</f>
        <v>675</v>
      </c>
      <c r="I34" s="21" t="n">
        <v>3</v>
      </c>
      <c r="J34" s="20" t="n">
        <v>600</v>
      </c>
      <c r="K34" s="20" t="n">
        <f aca="false">J34/H34*100</f>
        <v>88.8888888888889</v>
      </c>
      <c r="L34" s="22"/>
      <c r="M34" s="23"/>
      <c r="N34" s="19" t="n">
        <v>1</v>
      </c>
      <c r="O34" s="19" t="n">
        <v>1</v>
      </c>
      <c r="P34" s="58"/>
    </row>
    <row r="35" customFormat="false" ht="15" hidden="false" customHeight="false" outlineLevel="0" collapsed="false">
      <c r="B35" s="15"/>
      <c r="C35" s="16"/>
      <c r="D35" s="54" t="s">
        <v>212</v>
      </c>
      <c r="E35" s="55" t="s">
        <v>50</v>
      </c>
      <c r="F35" s="19" t="n">
        <f aca="false">60/12*8*60</f>
        <v>2400</v>
      </c>
      <c r="G35" s="20" t="n">
        <f aca="false">F35/8</f>
        <v>300</v>
      </c>
      <c r="H35" s="20" t="n">
        <f aca="false">G35*I35</f>
        <v>1200</v>
      </c>
      <c r="I35" s="21" t="n">
        <v>4</v>
      </c>
      <c r="J35" s="20" t="n">
        <v>1000</v>
      </c>
      <c r="K35" s="20" t="n">
        <f aca="false">J35/H35*100</f>
        <v>83.3333333333333</v>
      </c>
      <c r="L35" s="22"/>
      <c r="M35" s="23"/>
      <c r="N35" s="19" t="n">
        <v>1</v>
      </c>
      <c r="O35" s="19" t="n">
        <v>1</v>
      </c>
      <c r="P35" s="58"/>
    </row>
    <row r="36" customFormat="false" ht="15" hidden="false" customHeight="false" outlineLevel="0" collapsed="false">
      <c r="B36" s="15"/>
      <c r="C36" s="16"/>
      <c r="D36" s="54"/>
      <c r="E36" s="55"/>
      <c r="F36" s="20"/>
      <c r="G36" s="20"/>
      <c r="H36" s="20"/>
      <c r="I36" s="21"/>
      <c r="J36" s="20"/>
      <c r="K36" s="20"/>
      <c r="L36" s="22"/>
      <c r="M36" s="83"/>
      <c r="N36" s="19"/>
      <c r="O36" s="19"/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3255</v>
      </c>
      <c r="I39" s="42"/>
      <c r="J39" s="49" t="n">
        <f aca="false">SUM(J31:J38)</f>
        <v>2795</v>
      </c>
      <c r="K39" s="43"/>
      <c r="L39" s="43"/>
      <c r="M39" s="44"/>
      <c r="N39" s="43"/>
      <c r="O39" s="43"/>
      <c r="P39" s="58"/>
    </row>
    <row r="40" customFormat="false" ht="15" hidden="false" customHeight="true" outlineLevel="0" collapsed="false">
      <c r="B40" s="45" t="n">
        <v>7</v>
      </c>
      <c r="C40" s="60" t="s">
        <v>51</v>
      </c>
      <c r="D40" s="54" t="s">
        <v>21</v>
      </c>
      <c r="E40" s="55" t="s">
        <v>55</v>
      </c>
      <c r="F40" s="19" t="n">
        <f aca="false">60/10*8*60</f>
        <v>2880</v>
      </c>
      <c r="G40" s="20" t="n">
        <f aca="false">F40/8</f>
        <v>360</v>
      </c>
      <c r="H40" s="20" t="n">
        <f aca="false">G40*I40</f>
        <v>2880</v>
      </c>
      <c r="I40" s="21" t="n">
        <v>8</v>
      </c>
      <c r="J40" s="21" t="n">
        <v>2655</v>
      </c>
      <c r="K40" s="20" t="n">
        <f aca="false">J40/H40*100</f>
        <v>92.1875</v>
      </c>
      <c r="L40" s="22"/>
      <c r="M40" s="59"/>
      <c r="N40" s="19" t="n">
        <v>1</v>
      </c>
      <c r="O40" s="19" t="n">
        <v>0</v>
      </c>
      <c r="P40" s="61" t="s">
        <v>53</v>
      </c>
    </row>
    <row r="41" customFormat="false" ht="15" hidden="false" customHeight="false" outlineLevel="0" collapsed="false">
      <c r="B41" s="45"/>
      <c r="C41" s="60"/>
      <c r="D41" s="54" t="s">
        <v>52</v>
      </c>
      <c r="E41" s="55" t="s">
        <v>50</v>
      </c>
      <c r="F41" s="19" t="n">
        <f aca="false">60/12*8*60</f>
        <v>2400</v>
      </c>
      <c r="G41" s="20" t="n">
        <f aca="false">F41/8</f>
        <v>300</v>
      </c>
      <c r="H41" s="20" t="n">
        <f aca="false">G41*I41</f>
        <v>1500</v>
      </c>
      <c r="I41" s="21" t="n">
        <v>5</v>
      </c>
      <c r="J41" s="21" t="n">
        <v>1200</v>
      </c>
      <c r="K41" s="20" t="n">
        <f aca="false">J41/H41*100</f>
        <v>80</v>
      </c>
      <c r="L41" s="20"/>
      <c r="M41" s="59"/>
      <c r="N41" s="19" t="n">
        <v>1</v>
      </c>
      <c r="O41" s="19" t="n">
        <v>0</v>
      </c>
      <c r="P41" s="61"/>
    </row>
    <row r="42" customFormat="false" ht="15" hidden="false" customHeight="false" outlineLevel="0" collapsed="false">
      <c r="B42" s="45"/>
      <c r="C42" s="60"/>
      <c r="D42" s="54"/>
      <c r="E42" s="55"/>
      <c r="F42" s="19"/>
      <c r="G42" s="20"/>
      <c r="H42" s="20"/>
      <c r="I42" s="21"/>
      <c r="J42" s="21"/>
      <c r="K42" s="20"/>
      <c r="L42" s="22"/>
      <c r="M42" s="59"/>
      <c r="N42" s="19"/>
      <c r="O42" s="19"/>
      <c r="P42" s="61"/>
    </row>
    <row r="43" customFormat="false" ht="15" hidden="false" customHeight="false" outlineLevel="0" collapsed="false">
      <c r="B43" s="45"/>
      <c r="C43" s="60"/>
      <c r="D43" s="54"/>
      <c r="E43" s="55"/>
      <c r="F43" s="19"/>
      <c r="G43" s="20"/>
      <c r="H43" s="20"/>
      <c r="I43" s="21"/>
      <c r="J43" s="21"/>
      <c r="K43" s="20"/>
      <c r="L43" s="22"/>
      <c r="M43" s="59"/>
      <c r="N43" s="19"/>
      <c r="O43" s="19"/>
      <c r="P43" s="61"/>
    </row>
    <row r="44" customFormat="false" ht="15" hidden="false" customHeight="false" outlineLevel="0" collapsed="false">
      <c r="B44" s="45"/>
      <c r="C44" s="60"/>
      <c r="D44" s="21"/>
      <c r="E44" s="62"/>
      <c r="F44" s="19"/>
      <c r="G44" s="20"/>
      <c r="H44" s="20"/>
      <c r="I44" s="21"/>
      <c r="J44" s="21"/>
      <c r="K44" s="20"/>
      <c r="L44" s="22"/>
      <c r="M44" s="23"/>
      <c r="N44" s="19"/>
      <c r="O44" s="19"/>
      <c r="P44" s="61"/>
    </row>
    <row r="45" customFormat="false" ht="15" hidden="false" customHeight="false" outlineLevel="0" collapsed="false">
      <c r="B45" s="45"/>
      <c r="C45" s="60"/>
      <c r="D45" s="21"/>
      <c r="E45" s="36"/>
      <c r="F45" s="19"/>
      <c r="G45" s="20"/>
      <c r="H45" s="20"/>
      <c r="I45" s="21"/>
      <c r="J45" s="21"/>
      <c r="K45" s="20"/>
      <c r="L45" s="20"/>
      <c r="M45" s="25"/>
      <c r="N45" s="20"/>
      <c r="O45" s="20"/>
      <c r="P45" s="61"/>
    </row>
    <row r="46" customFormat="false" ht="15" hidden="false" customHeight="false" outlineLevel="0" collapsed="false">
      <c r="B46" s="45"/>
      <c r="C46" s="60"/>
      <c r="D46" s="35"/>
      <c r="E46" s="36"/>
      <c r="F46" s="20"/>
      <c r="G46" s="20"/>
      <c r="H46" s="20"/>
      <c r="I46" s="21"/>
      <c r="J46" s="21"/>
      <c r="K46" s="20"/>
      <c r="L46" s="20"/>
      <c r="M46" s="25"/>
      <c r="N46" s="20"/>
      <c r="O46" s="20"/>
      <c r="P46" s="61"/>
    </row>
    <row r="47" customFormat="false" ht="16.5" hidden="false" customHeight="false" outlineLevel="0" collapsed="false">
      <c r="B47" s="45"/>
      <c r="C47" s="60"/>
      <c r="D47" s="40" t="s">
        <v>23</v>
      </c>
      <c r="E47" s="40"/>
      <c r="F47" s="40"/>
      <c r="G47" s="40"/>
      <c r="H47" s="49" t="n">
        <f aca="false">SUM(H40:H46)</f>
        <v>4380</v>
      </c>
      <c r="I47" s="63"/>
      <c r="J47" s="41" t="n">
        <f aca="false">SUM(J40:J46)</f>
        <v>3855</v>
      </c>
      <c r="K47" s="43"/>
      <c r="L47" s="43"/>
      <c r="M47" s="44"/>
      <c r="N47" s="43"/>
      <c r="O47" s="43"/>
      <c r="P47" s="61"/>
    </row>
    <row r="48" customFormat="false" ht="15" hidden="false" customHeight="true" outlineLevel="0" collapsed="false">
      <c r="B48" s="45" t="n">
        <v>8</v>
      </c>
      <c r="C48" s="64" t="s">
        <v>59</v>
      </c>
      <c r="D48" s="54" t="s">
        <v>28</v>
      </c>
      <c r="E48" s="55" t="s">
        <v>55</v>
      </c>
      <c r="F48" s="19" t="n">
        <f aca="false">60/9*8*60</f>
        <v>3200</v>
      </c>
      <c r="G48" s="20" t="n">
        <f aca="false">F48/8</f>
        <v>400</v>
      </c>
      <c r="H48" s="20" t="n">
        <f aca="false">G48*I48</f>
        <v>1000</v>
      </c>
      <c r="I48" s="21" t="n">
        <v>2.5</v>
      </c>
      <c r="J48" s="21" t="n">
        <v>878</v>
      </c>
      <c r="K48" s="20" t="n">
        <f aca="false">J48/H48*100</f>
        <v>87.8</v>
      </c>
      <c r="L48" s="20"/>
      <c r="M48" s="25"/>
      <c r="N48" s="20" t="n">
        <v>1</v>
      </c>
      <c r="O48" s="20" t="n">
        <v>0</v>
      </c>
      <c r="P48" s="61" t="s">
        <v>60</v>
      </c>
    </row>
    <row r="49" customFormat="false" ht="22.5" hidden="false" customHeight="false" outlineLevel="0" collapsed="false">
      <c r="B49" s="45"/>
      <c r="C49" s="64"/>
      <c r="D49" s="54" t="s">
        <v>43</v>
      </c>
      <c r="E49" s="55" t="s">
        <v>50</v>
      </c>
      <c r="F49" s="19" t="n">
        <f aca="false">60/12*8*60</f>
        <v>2400</v>
      </c>
      <c r="G49" s="20" t="n">
        <f aca="false">F49/8</f>
        <v>300</v>
      </c>
      <c r="H49" s="20" t="n">
        <f aca="false">G49*I49</f>
        <v>2400</v>
      </c>
      <c r="I49" s="21" t="n">
        <v>8</v>
      </c>
      <c r="J49" s="21" t="n">
        <v>2200</v>
      </c>
      <c r="K49" s="20" t="n">
        <f aca="false">J49/H49*100</f>
        <v>91.6666666666667</v>
      </c>
      <c r="L49" s="20" t="n">
        <v>15</v>
      </c>
      <c r="M49" s="59" t="s">
        <v>148</v>
      </c>
      <c r="N49" s="19" t="n">
        <v>1</v>
      </c>
      <c r="O49" s="19" t="n">
        <v>0</v>
      </c>
      <c r="P49" s="61"/>
    </row>
    <row r="50" customFormat="false" ht="22.5" hidden="false" customHeight="false" outlineLevel="0" collapsed="false">
      <c r="B50" s="45"/>
      <c r="C50" s="64"/>
      <c r="D50" s="54" t="s">
        <v>34</v>
      </c>
      <c r="E50" s="55" t="s">
        <v>50</v>
      </c>
      <c r="F50" s="19" t="n">
        <f aca="false">60/10*8*60</f>
        <v>2880</v>
      </c>
      <c r="G50" s="20" t="n">
        <f aca="false">F50/8</f>
        <v>360</v>
      </c>
      <c r="H50" s="20" t="n">
        <f aca="false">G50*I50</f>
        <v>1080</v>
      </c>
      <c r="I50" s="21" t="n">
        <v>3</v>
      </c>
      <c r="J50" s="21" t="n">
        <v>1000</v>
      </c>
      <c r="K50" s="20" t="n">
        <f aca="false">J50/H50*100</f>
        <v>92.5925925925926</v>
      </c>
      <c r="L50" s="22" t="n">
        <v>20</v>
      </c>
      <c r="M50" s="59" t="s">
        <v>148</v>
      </c>
      <c r="N50" s="19" t="n">
        <v>1</v>
      </c>
      <c r="O50" s="19" t="n">
        <v>1</v>
      </c>
      <c r="P50" s="61"/>
    </row>
    <row r="51" customFormat="false" ht="15" hidden="false" customHeight="false" outlineLevel="0" collapsed="false">
      <c r="B51" s="45"/>
      <c r="C51" s="64"/>
      <c r="D51" s="54"/>
      <c r="E51" s="55"/>
      <c r="F51" s="19"/>
      <c r="G51" s="20"/>
      <c r="H51" s="20"/>
      <c r="I51" s="21"/>
      <c r="J51" s="21"/>
      <c r="K51" s="20"/>
      <c r="L51" s="20"/>
      <c r="M51" s="25"/>
      <c r="N51" s="20"/>
      <c r="O51" s="20"/>
      <c r="P51" s="61"/>
    </row>
    <row r="52" customFormat="false" ht="15" hidden="false" customHeight="false" outlineLevel="0" collapsed="false">
      <c r="B52" s="45"/>
      <c r="C52" s="64"/>
      <c r="D52" s="54"/>
      <c r="E52" s="55"/>
      <c r="F52" s="19"/>
      <c r="G52" s="20"/>
      <c r="H52" s="20"/>
      <c r="I52" s="21"/>
      <c r="J52" s="21"/>
      <c r="K52" s="20"/>
      <c r="L52" s="20"/>
      <c r="M52" s="25"/>
      <c r="N52" s="19"/>
      <c r="O52" s="19"/>
      <c r="P52" s="61"/>
    </row>
    <row r="53" customFormat="false" ht="15" hidden="false" customHeight="false" outlineLevel="0" collapsed="false">
      <c r="B53" s="45"/>
      <c r="C53" s="64"/>
      <c r="D53" s="54"/>
      <c r="E53" s="55"/>
      <c r="F53" s="19"/>
      <c r="G53" s="20"/>
      <c r="H53" s="20"/>
      <c r="I53" s="21"/>
      <c r="J53" s="21"/>
      <c r="K53" s="20"/>
      <c r="L53" s="22"/>
      <c r="M53" s="23"/>
      <c r="N53" s="19"/>
      <c r="O53" s="19"/>
      <c r="P53" s="61"/>
    </row>
    <row r="54" customFormat="false" ht="15" hidden="false" customHeight="false" outlineLevel="0" collapsed="false">
      <c r="B54" s="45"/>
      <c r="C54" s="64"/>
      <c r="D54" s="54"/>
      <c r="E54" s="55"/>
      <c r="F54" s="19"/>
      <c r="G54" s="19"/>
      <c r="H54" s="19"/>
      <c r="I54" s="21"/>
      <c r="J54" s="21"/>
      <c r="K54" s="20"/>
      <c r="L54" s="22"/>
      <c r="M54" s="23"/>
      <c r="N54" s="65"/>
      <c r="O54" s="65"/>
      <c r="P54" s="61"/>
    </row>
    <row r="55" customFormat="false" ht="16.5" hidden="false" customHeight="false" outlineLevel="0" collapsed="false">
      <c r="B55" s="45"/>
      <c r="C55" s="64"/>
      <c r="D55" s="40" t="s">
        <v>23</v>
      </c>
      <c r="E55" s="40"/>
      <c r="F55" s="40"/>
      <c r="G55" s="40"/>
      <c r="H55" s="49" t="n">
        <f aca="false">SUM(H48:H54)</f>
        <v>4480</v>
      </c>
      <c r="I55" s="42"/>
      <c r="J55" s="41" t="n">
        <f aca="false">SUM(J48:J54)</f>
        <v>4078</v>
      </c>
      <c r="K55" s="43"/>
      <c r="L55" s="43"/>
      <c r="M55" s="44"/>
      <c r="N55" s="43"/>
      <c r="O55" s="43"/>
      <c r="P55" s="61"/>
    </row>
    <row r="56" customFormat="false" ht="15" hidden="false" customHeight="true" outlineLevel="0" collapsed="false">
      <c r="B56" s="50" t="n">
        <v>9</v>
      </c>
      <c r="C56" s="53" t="s">
        <v>62</v>
      </c>
      <c r="D56" s="35" t="s">
        <v>34</v>
      </c>
      <c r="E56" s="36" t="s">
        <v>55</v>
      </c>
      <c r="F56" s="20" t="n">
        <f aca="false">60/10*8*60</f>
        <v>2880</v>
      </c>
      <c r="G56" s="20" t="n">
        <f aca="false">F56/8</f>
        <v>360</v>
      </c>
      <c r="H56" s="20" t="n">
        <f aca="false">G56*I56</f>
        <v>1260</v>
      </c>
      <c r="I56" s="21" t="n">
        <v>3.5</v>
      </c>
      <c r="J56" s="21" t="n">
        <v>1000</v>
      </c>
      <c r="K56" s="20" t="n">
        <f aca="false">J56/H56*100</f>
        <v>79.3650793650794</v>
      </c>
      <c r="L56" s="20"/>
      <c r="M56" s="25"/>
      <c r="N56" s="20" t="n">
        <v>1</v>
      </c>
      <c r="O56" s="20" t="n">
        <v>0</v>
      </c>
      <c r="P56" s="66" t="s">
        <v>63</v>
      </c>
    </row>
    <row r="57" customFormat="false" ht="15" hidden="false" customHeight="false" outlineLevel="0" collapsed="false">
      <c r="B57" s="50"/>
      <c r="C57" s="53"/>
      <c r="D57" s="67"/>
      <c r="E57" s="35"/>
      <c r="F57" s="20"/>
      <c r="G57" s="20"/>
      <c r="H57" s="20"/>
      <c r="I57" s="21"/>
      <c r="J57" s="21"/>
      <c r="K57" s="20"/>
      <c r="L57" s="19"/>
      <c r="M57" s="68"/>
      <c r="N57" s="19"/>
      <c r="O57" s="19"/>
      <c r="P57" s="66"/>
    </row>
    <row r="58" customFormat="false" ht="16.5" hidden="false" customHeight="false" outlineLevel="0" collapsed="false">
      <c r="B58" s="50"/>
      <c r="C58" s="53"/>
      <c r="D58" s="11" t="s">
        <v>64</v>
      </c>
      <c r="E58" s="11"/>
      <c r="F58" s="11"/>
      <c r="G58" s="11"/>
      <c r="H58" s="57" t="n">
        <f aca="false">SUM(H56:H57)</f>
        <v>1260</v>
      </c>
      <c r="I58" s="69"/>
      <c r="J58" s="29" t="n">
        <f aca="false">SUM(J56:J57)</f>
        <v>1000</v>
      </c>
      <c r="K58" s="22"/>
      <c r="L58" s="22"/>
      <c r="M58" s="23"/>
      <c r="N58" s="22"/>
      <c r="O58" s="22"/>
      <c r="P58" s="66"/>
    </row>
    <row r="59" customFormat="false" ht="15" hidden="false" customHeight="true" outlineLevel="0" collapsed="false">
      <c r="B59" s="15" t="n">
        <v>10</v>
      </c>
      <c r="C59" s="16" t="s">
        <v>65</v>
      </c>
      <c r="D59" s="85"/>
      <c r="E59" s="39"/>
      <c r="F59" s="19"/>
      <c r="G59" s="20"/>
      <c r="H59" s="20"/>
      <c r="I59" s="21"/>
      <c r="J59" s="21"/>
      <c r="K59" s="20"/>
      <c r="L59" s="20"/>
      <c r="M59" s="25"/>
      <c r="N59" s="19"/>
      <c r="O59" s="19"/>
      <c r="P59" s="34"/>
    </row>
    <row r="60" customFormat="false" ht="15" hidden="false" customHeight="false" outlineLevel="0" collapsed="false">
      <c r="B60" s="15"/>
      <c r="C60" s="16"/>
      <c r="D60" s="54"/>
      <c r="E60" s="67"/>
      <c r="F60" s="19"/>
      <c r="G60" s="20"/>
      <c r="H60" s="20"/>
      <c r="I60" s="21"/>
      <c r="J60" s="21"/>
      <c r="K60" s="20"/>
      <c r="L60" s="19"/>
      <c r="M60" s="68"/>
      <c r="N60" s="19"/>
      <c r="O60" s="19"/>
      <c r="P60" s="34"/>
    </row>
    <row r="61" customFormat="false" ht="16.5" hidden="false" customHeight="false" outlineLevel="0" collapsed="false">
      <c r="B61" s="15"/>
      <c r="C61" s="16"/>
      <c r="D61" s="40" t="s">
        <v>23</v>
      </c>
      <c r="E61" s="40"/>
      <c r="F61" s="40"/>
      <c r="G61" s="40"/>
      <c r="H61" s="41" t="n">
        <f aca="false">SUM(H60:H60)</f>
        <v>0</v>
      </c>
      <c r="I61" s="42"/>
      <c r="J61" s="41" t="n">
        <f aca="false">SUM(J59:J60)</f>
        <v>0</v>
      </c>
      <c r="K61" s="43"/>
      <c r="L61" s="43"/>
      <c r="M61" s="44"/>
      <c r="N61" s="43"/>
      <c r="O61" s="43"/>
      <c r="P61" s="34"/>
    </row>
    <row r="62" customFormat="false" ht="15" hidden="false" customHeight="true" outlineLevel="0" collapsed="false">
      <c r="B62" s="32" t="n">
        <v>11</v>
      </c>
      <c r="C62" s="71" t="s">
        <v>66</v>
      </c>
      <c r="D62" s="67" t="s">
        <v>67</v>
      </c>
      <c r="E62" s="19" t="s">
        <v>72</v>
      </c>
      <c r="F62" s="19" t="n">
        <f aca="false">60/20*8*60</f>
        <v>1440</v>
      </c>
      <c r="G62" s="19" t="n">
        <f aca="false">F62/8</f>
        <v>180</v>
      </c>
      <c r="H62" s="19" t="n">
        <f aca="false">G62*I62</f>
        <v>810</v>
      </c>
      <c r="I62" s="72" t="n">
        <v>4.5</v>
      </c>
      <c r="J62" s="72" t="n">
        <f aca="false">165*4</f>
        <v>660</v>
      </c>
      <c r="K62" s="19" t="n">
        <f aca="false">J62/H62*100</f>
        <v>81.4814814814815</v>
      </c>
      <c r="L62" s="19"/>
      <c r="M62" s="68" t="s">
        <v>68</v>
      </c>
      <c r="N62" s="19" t="n">
        <v>1</v>
      </c>
      <c r="O62" s="19" t="n">
        <v>1</v>
      </c>
      <c r="P62" s="73" t="s">
        <v>69</v>
      </c>
    </row>
    <row r="63" customFormat="false" ht="15" hidden="false" customHeight="false" outlineLevel="0" collapsed="false">
      <c r="B63" s="32"/>
      <c r="C63" s="71"/>
      <c r="D63" s="35"/>
      <c r="E63" s="20"/>
      <c r="F63" s="19"/>
      <c r="G63" s="19"/>
      <c r="H63" s="19"/>
      <c r="I63" s="72"/>
      <c r="J63" s="72"/>
      <c r="K63" s="19"/>
      <c r="L63" s="19"/>
      <c r="M63" s="68"/>
      <c r="N63" s="19"/>
      <c r="O63" s="19"/>
      <c r="P63" s="73"/>
    </row>
    <row r="64" customFormat="false" ht="15" hidden="false" customHeight="false" outlineLevel="0" collapsed="false">
      <c r="B64" s="32"/>
      <c r="C64" s="71"/>
      <c r="D64" s="35"/>
      <c r="E64" s="19"/>
      <c r="F64" s="19"/>
      <c r="G64" s="19"/>
      <c r="H64" s="19"/>
      <c r="I64" s="72"/>
      <c r="J64" s="72"/>
      <c r="K64" s="19"/>
      <c r="L64" s="19"/>
      <c r="M64" s="68"/>
      <c r="N64" s="19"/>
      <c r="O64" s="19"/>
      <c r="P64" s="73"/>
    </row>
    <row r="65" customFormat="false" ht="16.5" hidden="false" customHeight="false" outlineLevel="0" collapsed="false">
      <c r="B65" s="32"/>
      <c r="C65" s="71"/>
      <c r="D65" s="11" t="s">
        <v>23</v>
      </c>
      <c r="E65" s="11"/>
      <c r="F65" s="11"/>
      <c r="G65" s="11"/>
      <c r="H65" s="57" t="n">
        <f aca="false">SUM(H62:H64)</f>
        <v>810</v>
      </c>
      <c r="I65" s="30"/>
      <c r="J65" s="29" t="n">
        <f aca="false">SUM(J62:J64)</f>
        <v>660</v>
      </c>
      <c r="K65" s="22"/>
      <c r="L65" s="22"/>
      <c r="M65" s="23"/>
      <c r="N65" s="22"/>
      <c r="O65" s="22"/>
      <c r="P65" s="73"/>
    </row>
    <row r="66" customFormat="false" ht="15" hidden="false" customHeight="true" outlineLevel="0" collapsed="false">
      <c r="B66" s="15" t="n">
        <v>12</v>
      </c>
      <c r="C66" s="37" t="s">
        <v>70</v>
      </c>
      <c r="D66" s="21" t="s">
        <v>71</v>
      </c>
      <c r="E66" s="55" t="s">
        <v>208</v>
      </c>
      <c r="F66" s="19" t="n">
        <f aca="false">60/20*8*60</f>
        <v>1440</v>
      </c>
      <c r="G66" s="19" t="n">
        <f aca="false">F66/8</f>
        <v>180</v>
      </c>
      <c r="H66" s="20" t="n">
        <f aca="false">G66*I66</f>
        <v>360</v>
      </c>
      <c r="I66" s="21" t="n">
        <v>2</v>
      </c>
      <c r="J66" s="21" t="n">
        <v>260</v>
      </c>
      <c r="K66" s="20" t="n">
        <f aca="false">J66/H66*100</f>
        <v>72.2222222222222</v>
      </c>
      <c r="L66" s="22"/>
      <c r="M66" s="23"/>
      <c r="N66" s="20" t="n">
        <v>1</v>
      </c>
      <c r="O66" s="20" t="n">
        <v>0</v>
      </c>
      <c r="P66" s="58" t="s">
        <v>74</v>
      </c>
    </row>
    <row r="67" customFormat="false" ht="15" hidden="false" customHeight="false" outlineLevel="0" collapsed="false">
      <c r="B67" s="15"/>
      <c r="C67" s="37"/>
      <c r="D67" s="85"/>
      <c r="E67" s="55"/>
      <c r="F67" s="19"/>
      <c r="G67" s="19"/>
      <c r="H67" s="19"/>
      <c r="I67" s="72"/>
      <c r="J67" s="72"/>
      <c r="K67" s="19"/>
      <c r="L67" s="20"/>
      <c r="M67" s="25"/>
      <c r="N67" s="20" t="n">
        <v>1</v>
      </c>
      <c r="O67" s="20" t="n">
        <v>0</v>
      </c>
      <c r="P67" s="58"/>
    </row>
    <row r="68" customFormat="false" ht="15" hidden="false" customHeight="false" outlineLevel="0" collapsed="false">
      <c r="B68" s="15"/>
      <c r="C68" s="37"/>
      <c r="D68" s="54"/>
      <c r="E68" s="55"/>
      <c r="F68" s="19"/>
      <c r="G68" s="19"/>
      <c r="H68" s="20"/>
      <c r="I68" s="21"/>
      <c r="J68" s="21"/>
      <c r="K68" s="20"/>
      <c r="L68" s="20"/>
      <c r="M68" s="25"/>
      <c r="N68" s="20"/>
      <c r="O68" s="20"/>
      <c r="P68" s="58"/>
    </row>
    <row r="69" customFormat="false" ht="15" hidden="false" customHeight="false" outlineLevel="0" collapsed="false">
      <c r="B69" s="15"/>
      <c r="C69" s="37"/>
      <c r="D69" s="35"/>
      <c r="E69" s="35"/>
      <c r="F69" s="19"/>
      <c r="G69" s="20"/>
      <c r="H69" s="20"/>
      <c r="I69" s="21"/>
      <c r="J69" s="21"/>
      <c r="K69" s="20"/>
      <c r="L69" s="19"/>
      <c r="M69" s="68"/>
      <c r="N69" s="19"/>
      <c r="O69" s="19"/>
      <c r="P69" s="58"/>
    </row>
    <row r="70" customFormat="false" ht="16.5" hidden="false" customHeight="true" outlineLevel="0" collapsed="false">
      <c r="B70" s="15"/>
      <c r="C70" s="37"/>
      <c r="D70" s="74" t="s">
        <v>23</v>
      </c>
      <c r="E70" s="74"/>
      <c r="F70" s="74"/>
      <c r="G70" s="74"/>
      <c r="H70" s="49" t="n">
        <f aca="false">SUM(H66:H69)</f>
        <v>360</v>
      </c>
      <c r="I70" s="75"/>
      <c r="J70" s="41" t="n">
        <f aca="false">SUM(J66:J69)</f>
        <v>260</v>
      </c>
      <c r="K70" s="43"/>
      <c r="L70" s="43"/>
      <c r="M70" s="76"/>
      <c r="N70" s="43" t="s">
        <v>77</v>
      </c>
      <c r="O70" s="43"/>
      <c r="P70" s="58"/>
    </row>
    <row r="71" customFormat="false" ht="15.75" hidden="false" customHeight="false" outlineLevel="0" collapsed="false">
      <c r="B71" s="77" t="s">
        <v>78</v>
      </c>
      <c r="C71" s="77"/>
      <c r="D71" s="77"/>
      <c r="E71" s="77"/>
      <c r="F71" s="77"/>
      <c r="G71" s="77"/>
      <c r="H71" s="78" t="n">
        <f aca="false">H9+H12+H15+H18+H21+H30+H39+H47+H55+H58+H61+H65+H70</f>
        <v>17090.5</v>
      </c>
      <c r="I71" s="79" t="s">
        <v>25</v>
      </c>
      <c r="J71" s="78" t="n">
        <f aca="false">J9+J12+J15+J18+J30+J39+J47+J55+J58+J61+J65+J70+J21</f>
        <v>14775</v>
      </c>
      <c r="K71" s="80" t="n">
        <f aca="false">J71/H71</f>
        <v>0.864515374038208</v>
      </c>
      <c r="L71" s="80"/>
      <c r="M71" s="81"/>
      <c r="N71" s="82" t="s">
        <v>121</v>
      </c>
      <c r="O71" s="82"/>
      <c r="P71" s="82"/>
    </row>
  </sheetData>
  <mergeCells count="71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B47"/>
    <mergeCell ref="C40:C47"/>
    <mergeCell ref="P40:P47"/>
    <mergeCell ref="D47:G47"/>
    <mergeCell ref="B48:B55"/>
    <mergeCell ref="C48:C55"/>
    <mergeCell ref="P48:P55"/>
    <mergeCell ref="D55:G55"/>
    <mergeCell ref="B56:B58"/>
    <mergeCell ref="C56:C58"/>
    <mergeCell ref="P56:P58"/>
    <mergeCell ref="D58:G58"/>
    <mergeCell ref="B59:B61"/>
    <mergeCell ref="C59:C61"/>
    <mergeCell ref="P59:P61"/>
    <mergeCell ref="D61:G61"/>
    <mergeCell ref="B62:B65"/>
    <mergeCell ref="C62:C65"/>
    <mergeCell ref="P62:P65"/>
    <mergeCell ref="D65:G65"/>
    <mergeCell ref="B66:B70"/>
    <mergeCell ref="C66:C70"/>
    <mergeCell ref="P66:P70"/>
    <mergeCell ref="D70:G70"/>
    <mergeCell ref="B71:G71"/>
    <mergeCell ref="N71:P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0" activeCellId="0" sqref="B40"/>
    </sheetView>
  </sheetViews>
  <sheetFormatPr defaultColWidth="9.14453125" defaultRowHeight="15" zeroHeight="false" outlineLevelRow="0" outlineLevelCol="0"/>
  <cols>
    <col collapsed="false" customWidth="true" hidden="false" outlineLevel="0" max="4" min="4" style="0" width="20.14"/>
    <col collapsed="false" customWidth="true" hidden="false" outlineLevel="0" max="5" min="5" style="0" width="18.57"/>
    <col collapsed="false" customWidth="true" hidden="false" outlineLevel="0" max="12" min="11" style="0" width="10.43"/>
    <col collapsed="false" customWidth="true" hidden="false" outlineLevel="0" max="13" min="13" style="0" width="11.71"/>
  </cols>
  <sheetData>
    <row r="1" customFormat="false" ht="15.75" hidden="false" customHeight="false" outlineLevel="0" collapsed="false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213</v>
      </c>
      <c r="L2" s="4"/>
      <c r="M2" s="4"/>
      <c r="N2" s="4"/>
      <c r="O2" s="4"/>
      <c r="P2" s="4"/>
    </row>
    <row r="3" customFormat="false" ht="15" hidden="false" customHeight="true" outlineLevel="0" collapsed="false">
      <c r="B3" s="3"/>
      <c r="C3" s="3"/>
      <c r="D3" s="3"/>
      <c r="E3" s="3"/>
      <c r="F3" s="3"/>
      <c r="G3" s="3"/>
      <c r="H3" s="3"/>
      <c r="I3" s="3"/>
      <c r="J3" s="3"/>
      <c r="K3" s="5" t="s">
        <v>214</v>
      </c>
      <c r="L3" s="5"/>
      <c r="M3" s="5"/>
      <c r="N3" s="5"/>
      <c r="O3" s="5"/>
      <c r="P3" s="5"/>
    </row>
    <row r="4" customFormat="false" ht="15" hidden="false" customHeight="true" outlineLevel="0" collapsed="false">
      <c r="B4" s="6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1"/>
      <c r="K4" s="10" t="s">
        <v>11</v>
      </c>
      <c r="L4" s="10" t="s">
        <v>12</v>
      </c>
      <c r="M4" s="10" t="s">
        <v>13</v>
      </c>
      <c r="N4" s="12" t="s">
        <v>14</v>
      </c>
      <c r="O4" s="12"/>
      <c r="P4" s="13" t="s">
        <v>15</v>
      </c>
    </row>
    <row r="5" customFormat="false" ht="26.25" hidden="false" customHeight="false" outlineLevel="0" collapsed="false">
      <c r="B5" s="6"/>
      <c r="C5" s="7"/>
      <c r="D5" s="8"/>
      <c r="E5" s="9"/>
      <c r="F5" s="10"/>
      <c r="G5" s="10"/>
      <c r="H5" s="10"/>
      <c r="I5" s="10" t="s">
        <v>16</v>
      </c>
      <c r="J5" s="10" t="s">
        <v>17</v>
      </c>
      <c r="K5" s="10"/>
      <c r="L5" s="10"/>
      <c r="M5" s="10"/>
      <c r="N5" s="14" t="s">
        <v>18</v>
      </c>
      <c r="O5" s="14" t="s">
        <v>19</v>
      </c>
      <c r="P5" s="13"/>
    </row>
    <row r="6" customFormat="false" ht="15.75" hidden="false" customHeight="true" outlineLevel="0" collapsed="false">
      <c r="B6" s="15" t="n">
        <v>1</v>
      </c>
      <c r="C6" s="16" t="s">
        <v>20</v>
      </c>
      <c r="D6" s="17" t="s">
        <v>21</v>
      </c>
      <c r="E6" s="18" t="s">
        <v>215</v>
      </c>
      <c r="F6" s="20" t="n">
        <f aca="false">60/30*8*60</f>
        <v>960</v>
      </c>
      <c r="G6" s="20" t="n">
        <f aca="false">F6/8</f>
        <v>120</v>
      </c>
      <c r="H6" s="20" t="n">
        <f aca="false">G6*I6</f>
        <v>660</v>
      </c>
      <c r="I6" s="21" t="n">
        <v>5.5</v>
      </c>
      <c r="J6" s="21" t="n">
        <v>600</v>
      </c>
      <c r="K6" s="20" t="n">
        <f aca="false">J6/H6*100</f>
        <v>90.9090909090909</v>
      </c>
      <c r="L6" s="20"/>
      <c r="M6" s="59"/>
      <c r="N6" s="19" t="n">
        <v>1</v>
      </c>
      <c r="O6" s="19" t="n">
        <v>0</v>
      </c>
      <c r="P6" s="24"/>
    </row>
    <row r="7" customFormat="false" ht="15.75" hidden="false" customHeight="false" outlineLevel="0" collapsed="false">
      <c r="B7" s="15"/>
      <c r="C7" s="16"/>
      <c r="D7" s="17" t="s">
        <v>43</v>
      </c>
      <c r="E7" s="17" t="s">
        <v>160</v>
      </c>
      <c r="F7" s="20" t="n">
        <f aca="false">60/40*8*60</f>
        <v>720</v>
      </c>
      <c r="G7" s="20" t="n">
        <f aca="false">F7/8</f>
        <v>90</v>
      </c>
      <c r="H7" s="20" t="n">
        <f aca="false">G7*I7</f>
        <v>180</v>
      </c>
      <c r="I7" s="21" t="n">
        <v>2</v>
      </c>
      <c r="J7" s="21" t="n">
        <v>150</v>
      </c>
      <c r="K7" s="20" t="n">
        <f aca="false">J7/H7*100</f>
        <v>83.3333333333333</v>
      </c>
      <c r="L7" s="20"/>
      <c r="M7" s="25"/>
      <c r="N7" s="19" t="n">
        <v>1</v>
      </c>
      <c r="O7" s="19" t="n">
        <v>0</v>
      </c>
      <c r="P7" s="24"/>
    </row>
    <row r="8" customFormat="false" ht="15" hidden="false" customHeight="false" outlineLevel="0" collapsed="false">
      <c r="B8" s="15"/>
      <c r="C8" s="16"/>
      <c r="D8" s="17"/>
      <c r="E8" s="18"/>
      <c r="F8" s="26"/>
      <c r="G8" s="26"/>
      <c r="H8" s="26"/>
      <c r="I8" s="27"/>
      <c r="J8" s="27"/>
      <c r="K8" s="26"/>
      <c r="L8" s="26"/>
      <c r="M8" s="28"/>
      <c r="N8" s="26"/>
      <c r="O8" s="26"/>
      <c r="P8" s="24"/>
    </row>
    <row r="9" customFormat="false" ht="16.5" hidden="false" customHeight="false" outlineLevel="0" collapsed="false">
      <c r="B9" s="15"/>
      <c r="C9" s="16"/>
      <c r="D9" s="8" t="s">
        <v>23</v>
      </c>
      <c r="E9" s="8"/>
      <c r="F9" s="8"/>
      <c r="G9" s="8"/>
      <c r="H9" s="29" t="n">
        <f aca="false">SUM(H6:H8)</f>
        <v>840</v>
      </c>
      <c r="I9" s="30"/>
      <c r="J9" s="29" t="n">
        <f aca="false">SUM(J6:J8)</f>
        <v>750</v>
      </c>
      <c r="K9" s="31"/>
      <c r="L9" s="31"/>
      <c r="M9" s="23"/>
      <c r="N9" s="20"/>
      <c r="O9" s="20"/>
      <c r="P9" s="24"/>
    </row>
    <row r="10" customFormat="false" ht="15" hidden="false" customHeight="false" outlineLevel="0" collapsed="false">
      <c r="B10" s="32" t="n">
        <v>2</v>
      </c>
      <c r="C10" s="33" t="s">
        <v>24</v>
      </c>
      <c r="D10" s="17"/>
      <c r="E10" s="18"/>
      <c r="F10" s="20"/>
      <c r="G10" s="20"/>
      <c r="H10" s="20"/>
      <c r="I10" s="21"/>
      <c r="J10" s="21"/>
      <c r="K10" s="20"/>
      <c r="L10" s="20"/>
      <c r="M10" s="25"/>
      <c r="N10" s="19"/>
      <c r="O10" s="19"/>
      <c r="P10" s="34"/>
    </row>
    <row r="11" customFormat="false" ht="15" hidden="false" customHeight="false" outlineLevel="0" collapsed="false">
      <c r="B11" s="32"/>
      <c r="C11" s="33"/>
      <c r="D11" s="35"/>
      <c r="E11" s="36"/>
      <c r="F11" s="20"/>
      <c r="G11" s="20"/>
      <c r="H11" s="20"/>
      <c r="I11" s="21"/>
      <c r="J11" s="21"/>
      <c r="K11" s="20"/>
      <c r="L11" s="20"/>
      <c r="M11" s="25" t="s">
        <v>25</v>
      </c>
      <c r="N11" s="20"/>
      <c r="O11" s="20" t="s">
        <v>26</v>
      </c>
      <c r="P11" s="34"/>
    </row>
    <row r="12" customFormat="false" ht="16.5" hidden="false" customHeight="false" outlineLevel="0" collapsed="false">
      <c r="B12" s="32"/>
      <c r="C12" s="33"/>
      <c r="D12" s="8" t="s">
        <v>23</v>
      </c>
      <c r="E12" s="8"/>
      <c r="F12" s="8"/>
      <c r="G12" s="8"/>
      <c r="H12" s="29" t="n">
        <f aca="false">SUM(H10:H11)</f>
        <v>0</v>
      </c>
      <c r="I12" s="30"/>
      <c r="J12" s="29" t="n">
        <f aca="false">SUM(J10:J11)</f>
        <v>0</v>
      </c>
      <c r="K12" s="31"/>
      <c r="L12" s="31"/>
      <c r="M12" s="23"/>
      <c r="N12" s="20"/>
      <c r="O12" s="20"/>
      <c r="P12" s="34"/>
    </row>
    <row r="13" customFormat="false" ht="15.75" hidden="false" customHeight="true" outlineLevel="0" collapsed="false">
      <c r="B13" s="15" t="n">
        <v>3</v>
      </c>
      <c r="C13" s="37" t="s">
        <v>27</v>
      </c>
      <c r="D13" s="17" t="s">
        <v>28</v>
      </c>
      <c r="E13" s="18" t="s">
        <v>35</v>
      </c>
      <c r="F13" s="20" t="n">
        <f aca="false">60/30*8*60</f>
        <v>960</v>
      </c>
      <c r="G13" s="20" t="n">
        <f aca="false">F13/8</f>
        <v>120</v>
      </c>
      <c r="H13" s="20" t="n">
        <f aca="false">G13*I13</f>
        <v>960</v>
      </c>
      <c r="I13" s="21" t="n">
        <v>8</v>
      </c>
      <c r="J13" s="21" t="n">
        <v>900</v>
      </c>
      <c r="K13" s="20" t="n">
        <f aca="false">J13/H13*100</f>
        <v>93.75</v>
      </c>
      <c r="L13" s="22"/>
      <c r="M13" s="23"/>
      <c r="N13" s="19"/>
      <c r="O13" s="19" t="n">
        <v>1</v>
      </c>
      <c r="P13" s="24" t="s">
        <v>30</v>
      </c>
    </row>
    <row r="14" customFormat="false" ht="15" hidden="false" customHeight="false" outlineLevel="0" collapsed="false">
      <c r="B14" s="15"/>
      <c r="C14" s="37"/>
      <c r="D14" s="17"/>
      <c r="E14" s="39"/>
      <c r="F14" s="19"/>
      <c r="G14" s="26"/>
      <c r="H14" s="26"/>
      <c r="I14" s="27"/>
      <c r="J14" s="27"/>
      <c r="K14" s="26"/>
      <c r="L14" s="26"/>
      <c r="M14" s="28"/>
      <c r="N14" s="26"/>
      <c r="O14" s="26"/>
      <c r="P14" s="24"/>
    </row>
    <row r="15" customFormat="false" ht="16.5" hidden="false" customHeight="false" outlineLevel="0" collapsed="false">
      <c r="B15" s="15"/>
      <c r="C15" s="37"/>
      <c r="D15" s="40" t="s">
        <v>23</v>
      </c>
      <c r="E15" s="40"/>
      <c r="F15" s="40"/>
      <c r="G15" s="40"/>
      <c r="H15" s="41" t="n">
        <f aca="false">SUM(H13:H14)</f>
        <v>960</v>
      </c>
      <c r="I15" s="42"/>
      <c r="J15" s="41" t="n">
        <f aca="false">SUM(J13:J14)</f>
        <v>900</v>
      </c>
      <c r="K15" s="43"/>
      <c r="L15" s="43"/>
      <c r="M15" s="44"/>
      <c r="N15" s="43"/>
      <c r="O15" s="43"/>
      <c r="P15" s="24"/>
    </row>
    <row r="16" customFormat="false" ht="15" hidden="false" customHeight="false" outlineLevel="0" collapsed="false">
      <c r="B16" s="45" t="n">
        <v>4</v>
      </c>
      <c r="C16" s="46" t="s">
        <v>31</v>
      </c>
      <c r="D16" s="47" t="s">
        <v>32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customFormat="false" ht="15" hidden="false" customHeight="false" outlineLevel="0" collapsed="false">
      <c r="B17" s="45"/>
      <c r="C17" s="46"/>
      <c r="D17" s="35"/>
      <c r="E17" s="36"/>
      <c r="F17" s="20"/>
      <c r="G17" s="20"/>
      <c r="H17" s="20"/>
      <c r="I17" s="21"/>
      <c r="J17" s="21"/>
      <c r="K17" s="20"/>
      <c r="L17" s="20"/>
      <c r="M17" s="25"/>
      <c r="N17" s="20"/>
      <c r="O17" s="20"/>
      <c r="P17" s="48"/>
    </row>
    <row r="18" customFormat="false" ht="16.5" hidden="false" customHeight="false" outlineLevel="0" collapsed="false">
      <c r="B18" s="45"/>
      <c r="C18" s="46"/>
      <c r="D18" s="40" t="s">
        <v>23</v>
      </c>
      <c r="E18" s="40"/>
      <c r="F18" s="40"/>
      <c r="G18" s="40"/>
      <c r="H18" s="49" t="n">
        <f aca="false">SUM(H16:H17)</f>
        <v>0</v>
      </c>
      <c r="I18" s="42"/>
      <c r="J18" s="49" t="n">
        <f aca="false">SUM(J16:J17)</f>
        <v>0</v>
      </c>
      <c r="K18" s="43"/>
      <c r="L18" s="43"/>
      <c r="M18" s="44"/>
      <c r="N18" s="43"/>
      <c r="O18" s="43"/>
      <c r="P18" s="48"/>
    </row>
    <row r="19" customFormat="false" ht="15" hidden="false" customHeight="false" outlineLevel="0" collapsed="false">
      <c r="B19" s="50" t="n">
        <v>5</v>
      </c>
      <c r="C19" s="51" t="s">
        <v>33</v>
      </c>
      <c r="D19" s="54" t="s">
        <v>34</v>
      </c>
      <c r="E19" s="55" t="s">
        <v>35</v>
      </c>
      <c r="F19" s="20" t="n">
        <f aca="false">60/30*8*60</f>
        <v>960</v>
      </c>
      <c r="G19" s="20" t="n">
        <f aca="false">F19/8</f>
        <v>120</v>
      </c>
      <c r="H19" s="20" t="n">
        <f aca="false">G19*I19</f>
        <v>240</v>
      </c>
      <c r="I19" s="21" t="n">
        <v>2</v>
      </c>
      <c r="J19" s="21" t="n">
        <v>200</v>
      </c>
      <c r="K19" s="20" t="n">
        <f aca="false">J19/H19*100</f>
        <v>83.3333333333333</v>
      </c>
      <c r="L19" s="20"/>
      <c r="M19" s="25"/>
      <c r="N19" s="19"/>
      <c r="O19" s="19"/>
      <c r="P19" s="52"/>
    </row>
    <row r="20" customFormat="false" ht="15" hidden="false" customHeight="false" outlineLevel="0" collapsed="false">
      <c r="B20" s="50"/>
      <c r="C20" s="51"/>
      <c r="D20" s="54"/>
      <c r="E20" s="36"/>
      <c r="F20" s="19"/>
      <c r="G20" s="20"/>
      <c r="H20" s="20"/>
      <c r="I20" s="21"/>
      <c r="J20" s="21"/>
      <c r="K20" s="20"/>
      <c r="L20" s="20"/>
      <c r="M20" s="25"/>
      <c r="N20" s="20"/>
      <c r="O20" s="20"/>
      <c r="P20" s="52"/>
    </row>
    <row r="21" customFormat="false" ht="16.5" hidden="false" customHeight="false" outlineLevel="0" collapsed="false">
      <c r="B21" s="50"/>
      <c r="C21" s="51"/>
      <c r="D21" s="8" t="s">
        <v>23</v>
      </c>
      <c r="E21" s="8"/>
      <c r="F21" s="8"/>
      <c r="G21" s="8"/>
      <c r="H21" s="29" t="n">
        <f aca="false">SUM(H19:H20)</f>
        <v>240</v>
      </c>
      <c r="I21" s="30"/>
      <c r="J21" s="29" t="n">
        <f aca="false">SUM(J19:J20)</f>
        <v>200</v>
      </c>
      <c r="K21" s="22"/>
      <c r="L21" s="22"/>
      <c r="M21" s="23"/>
      <c r="N21" s="20"/>
      <c r="O21" s="20"/>
      <c r="P21" s="52"/>
    </row>
    <row r="22" customFormat="false" ht="15" hidden="false" customHeight="true" outlineLevel="0" collapsed="false">
      <c r="B22" s="50" t="n">
        <v>6</v>
      </c>
      <c r="C22" s="53" t="s">
        <v>36</v>
      </c>
      <c r="D22" s="54" t="s">
        <v>49</v>
      </c>
      <c r="E22" s="55" t="s">
        <v>72</v>
      </c>
      <c r="F22" s="19" t="n">
        <f aca="false">60/16*8*60</f>
        <v>1800</v>
      </c>
      <c r="G22" s="20" t="n">
        <f aca="false">F22/8</f>
        <v>225</v>
      </c>
      <c r="H22" s="20" t="n">
        <f aca="false">G22*I22</f>
        <v>337.5</v>
      </c>
      <c r="I22" s="21" t="n">
        <v>1.5</v>
      </c>
      <c r="J22" s="21" t="n">
        <v>1142</v>
      </c>
      <c r="K22" s="20" t="n">
        <f aca="false">J22/H22*100</f>
        <v>338.37037037037</v>
      </c>
      <c r="L22" s="22"/>
      <c r="M22" s="23"/>
      <c r="N22" s="19" t="n">
        <v>1</v>
      </c>
      <c r="O22" s="19" t="n">
        <v>1</v>
      </c>
      <c r="P22" s="56" t="s">
        <v>39</v>
      </c>
    </row>
    <row r="23" customFormat="false" ht="15" hidden="false" customHeight="false" outlineLevel="0" collapsed="false">
      <c r="B23" s="50"/>
      <c r="C23" s="53"/>
      <c r="D23" s="54" t="s">
        <v>202</v>
      </c>
      <c r="E23" s="55" t="s">
        <v>35</v>
      </c>
      <c r="F23" s="19" t="n">
        <f aca="false">60/30*8*60</f>
        <v>960</v>
      </c>
      <c r="G23" s="20" t="n">
        <f aca="false">F23/8</f>
        <v>120</v>
      </c>
      <c r="H23" s="20" t="n">
        <f aca="false">G23*I23</f>
        <v>300</v>
      </c>
      <c r="I23" s="21" t="n">
        <v>2.5</v>
      </c>
      <c r="J23" s="21" t="n">
        <v>275</v>
      </c>
      <c r="K23" s="20" t="n">
        <f aca="false">J23/H23*100</f>
        <v>91.6666666666667</v>
      </c>
      <c r="L23" s="22"/>
      <c r="M23" s="83"/>
      <c r="N23" s="19" t="n">
        <v>1</v>
      </c>
      <c r="O23" s="19" t="n">
        <v>1</v>
      </c>
      <c r="P23" s="56"/>
    </row>
    <row r="24" customFormat="false" ht="22.5" hidden="false" customHeight="false" outlineLevel="0" collapsed="false">
      <c r="B24" s="50"/>
      <c r="C24" s="53"/>
      <c r="D24" s="54" t="s">
        <v>202</v>
      </c>
      <c r="E24" s="55" t="s">
        <v>35</v>
      </c>
      <c r="F24" s="19" t="n">
        <f aca="false">60/30*8*60</f>
        <v>960</v>
      </c>
      <c r="G24" s="20" t="n">
        <f aca="false">F24/8</f>
        <v>120</v>
      </c>
      <c r="H24" s="20" t="n">
        <f aca="false">G24*I24</f>
        <v>300</v>
      </c>
      <c r="I24" s="21" t="n">
        <v>2.5</v>
      </c>
      <c r="J24" s="21" t="n">
        <v>275</v>
      </c>
      <c r="K24" s="20" t="n">
        <f aca="false">J24/H24*100</f>
        <v>91.6666666666667</v>
      </c>
      <c r="L24" s="22" t="n">
        <v>20</v>
      </c>
      <c r="M24" s="83" t="s">
        <v>148</v>
      </c>
      <c r="N24" s="19" t="n">
        <v>1</v>
      </c>
      <c r="O24" s="19" t="n">
        <v>1</v>
      </c>
      <c r="P24" s="56"/>
    </row>
    <row r="25" customFormat="false" ht="22.5" hidden="false" customHeight="false" outlineLevel="0" collapsed="false">
      <c r="B25" s="50"/>
      <c r="C25" s="53"/>
      <c r="D25" s="54" t="s">
        <v>34</v>
      </c>
      <c r="E25" s="55" t="s">
        <v>22</v>
      </c>
      <c r="F25" s="19" t="n">
        <f aca="false">60/30*8*60</f>
        <v>960</v>
      </c>
      <c r="G25" s="20" t="n">
        <f aca="false">F25/8</f>
        <v>120</v>
      </c>
      <c r="H25" s="20" t="n">
        <f aca="false">G25*I25</f>
        <v>360</v>
      </c>
      <c r="I25" s="21" t="n">
        <v>3</v>
      </c>
      <c r="J25" s="21" t="n">
        <v>300</v>
      </c>
      <c r="K25" s="20" t="n">
        <f aca="false">J25/H25*100</f>
        <v>83.3333333333333</v>
      </c>
      <c r="L25" s="22" t="n">
        <v>10</v>
      </c>
      <c r="M25" s="38" t="s">
        <v>148</v>
      </c>
      <c r="N25" s="19" t="n">
        <v>1</v>
      </c>
      <c r="O25" s="19" t="n">
        <v>1</v>
      </c>
      <c r="P25" s="56"/>
    </row>
    <row r="26" customFormat="false" ht="15" hidden="false" customHeight="false" outlineLevel="0" collapsed="false">
      <c r="B26" s="50"/>
      <c r="C26" s="53"/>
      <c r="D26" s="54"/>
      <c r="E26" s="55"/>
      <c r="F26" s="19"/>
      <c r="G26" s="20"/>
      <c r="H26" s="20"/>
      <c r="I26" s="21"/>
      <c r="J26" s="21"/>
      <c r="K26" s="20"/>
      <c r="L26" s="22"/>
      <c r="M26" s="23"/>
      <c r="N26" s="19"/>
      <c r="O26" s="19"/>
      <c r="P26" s="56"/>
    </row>
    <row r="27" customFormat="false" ht="15" hidden="false" customHeight="false" outlineLevel="0" collapsed="false">
      <c r="B27" s="50"/>
      <c r="C27" s="53"/>
      <c r="D27" s="54"/>
      <c r="E27" s="55"/>
      <c r="F27" s="19"/>
      <c r="G27" s="20"/>
      <c r="H27" s="20"/>
      <c r="I27" s="21"/>
      <c r="J27" s="21"/>
      <c r="K27" s="20"/>
      <c r="L27" s="22"/>
      <c r="M27" s="23"/>
      <c r="N27" s="19"/>
      <c r="O27" s="19"/>
      <c r="P27" s="56"/>
    </row>
    <row r="28" customFormat="false" ht="15" hidden="false" customHeight="false" outlineLevel="0" collapsed="false">
      <c r="B28" s="50"/>
      <c r="C28" s="53"/>
      <c r="D28" s="35"/>
      <c r="E28" s="55"/>
      <c r="F28" s="19"/>
      <c r="G28" s="20"/>
      <c r="H28" s="20"/>
      <c r="I28" s="21"/>
      <c r="J28" s="21"/>
      <c r="K28" s="20"/>
      <c r="L28" s="22"/>
      <c r="M28" s="23"/>
      <c r="N28" s="19"/>
      <c r="O28" s="19"/>
      <c r="P28" s="56"/>
    </row>
    <row r="29" customFormat="false" ht="15" hidden="false" customHeight="false" outlineLevel="0" collapsed="false">
      <c r="B29" s="50"/>
      <c r="C29" s="53"/>
      <c r="D29" s="35"/>
      <c r="E29" s="55"/>
      <c r="F29" s="20"/>
      <c r="G29" s="20"/>
      <c r="H29" s="20"/>
      <c r="I29" s="21"/>
      <c r="J29" s="21"/>
      <c r="K29" s="20"/>
      <c r="L29" s="22"/>
      <c r="M29" s="23"/>
      <c r="N29" s="19"/>
      <c r="O29" s="19"/>
      <c r="P29" s="56"/>
    </row>
    <row r="30" customFormat="false" ht="16.5" hidden="false" customHeight="false" outlineLevel="0" collapsed="false">
      <c r="B30" s="50"/>
      <c r="C30" s="53"/>
      <c r="D30" s="8" t="s">
        <v>23</v>
      </c>
      <c r="E30" s="8"/>
      <c r="F30" s="8"/>
      <c r="G30" s="8"/>
      <c r="H30" s="57" t="n">
        <f aca="false">SUM(H22:H29)</f>
        <v>1297.5</v>
      </c>
      <c r="I30" s="30"/>
      <c r="J30" s="29" t="n">
        <f aca="false">SUM(J22:J29)</f>
        <v>1992</v>
      </c>
      <c r="K30" s="22"/>
      <c r="L30" s="22"/>
      <c r="M30" s="23"/>
      <c r="N30" s="55"/>
      <c r="O30" s="22"/>
      <c r="P30" s="56"/>
    </row>
    <row r="31" customFormat="false" ht="15" hidden="false" customHeight="true" outlineLevel="0" collapsed="false">
      <c r="B31" s="15" t="n">
        <v>6</v>
      </c>
      <c r="C31" s="16" t="s">
        <v>36</v>
      </c>
      <c r="D31" s="54" t="s">
        <v>212</v>
      </c>
      <c r="E31" s="55" t="s">
        <v>50</v>
      </c>
      <c r="F31" s="19" t="n">
        <f aca="false">60/12*8*60</f>
        <v>2400</v>
      </c>
      <c r="G31" s="20" t="n">
        <f aca="false">F31/8</f>
        <v>300</v>
      </c>
      <c r="H31" s="20" t="n">
        <f aca="false">G31*I31</f>
        <v>360</v>
      </c>
      <c r="I31" s="21" t="n">
        <v>1.2</v>
      </c>
      <c r="J31" s="20" t="n">
        <v>310</v>
      </c>
      <c r="K31" s="20" t="n">
        <f aca="false">J31/H31*100</f>
        <v>86.1111111111111</v>
      </c>
      <c r="L31" s="22"/>
      <c r="M31" s="23"/>
      <c r="N31" s="19" t="n">
        <v>1</v>
      </c>
      <c r="O31" s="19" t="n">
        <v>1</v>
      </c>
      <c r="P31" s="58" t="s">
        <v>44</v>
      </c>
    </row>
    <row r="32" customFormat="false" ht="22.5" hidden="false" customHeight="false" outlineLevel="0" collapsed="false">
      <c r="B32" s="15"/>
      <c r="C32" s="16"/>
      <c r="D32" s="54" t="s">
        <v>47</v>
      </c>
      <c r="E32" s="55" t="s">
        <v>72</v>
      </c>
      <c r="F32" s="19" t="n">
        <f aca="false">60/20*8*60</f>
        <v>1440</v>
      </c>
      <c r="G32" s="20" t="n">
        <f aca="false">F32/8</f>
        <v>180</v>
      </c>
      <c r="H32" s="20" t="n">
        <f aca="false">G32*I32</f>
        <v>720</v>
      </c>
      <c r="I32" s="21" t="n">
        <v>4</v>
      </c>
      <c r="J32" s="21" t="n">
        <v>700</v>
      </c>
      <c r="K32" s="20" t="n">
        <f aca="false">J32/H32*100</f>
        <v>97.2222222222222</v>
      </c>
      <c r="L32" s="20" t="n">
        <v>20</v>
      </c>
      <c r="M32" s="83" t="s">
        <v>148</v>
      </c>
      <c r="N32" s="19" t="n">
        <v>1</v>
      </c>
      <c r="O32" s="19" t="n">
        <v>1</v>
      </c>
      <c r="P32" s="58"/>
    </row>
    <row r="33" customFormat="false" ht="15" hidden="false" customHeight="false" outlineLevel="0" collapsed="false">
      <c r="B33" s="15"/>
      <c r="C33" s="16"/>
      <c r="D33" s="54" t="s">
        <v>34</v>
      </c>
      <c r="E33" s="55" t="s">
        <v>216</v>
      </c>
      <c r="F33" s="19" t="n">
        <f aca="false">60/30*8*60</f>
        <v>960</v>
      </c>
      <c r="G33" s="20" t="n">
        <f aca="false">F33/8</f>
        <v>120</v>
      </c>
      <c r="H33" s="20" t="n">
        <f aca="false">G33*I33</f>
        <v>120</v>
      </c>
      <c r="I33" s="21" t="n">
        <v>1</v>
      </c>
      <c r="J33" s="21" t="n">
        <v>102</v>
      </c>
      <c r="K33" s="20" t="n">
        <f aca="false">J33/H33*100</f>
        <v>85</v>
      </c>
      <c r="L33" s="20"/>
      <c r="M33" s="83"/>
      <c r="N33" s="20" t="n">
        <v>1</v>
      </c>
      <c r="O33" s="20" t="n">
        <v>3</v>
      </c>
      <c r="P33" s="58"/>
    </row>
    <row r="34" customFormat="false" ht="15" hidden="false" customHeight="false" outlineLevel="0" collapsed="false">
      <c r="B34" s="15"/>
      <c r="C34" s="16"/>
      <c r="D34" s="54" t="s">
        <v>45</v>
      </c>
      <c r="E34" s="55" t="s">
        <v>164</v>
      </c>
      <c r="F34" s="19" t="n">
        <f aca="false">60/30*8*60</f>
        <v>960</v>
      </c>
      <c r="G34" s="20" t="n">
        <f aca="false">F34/8</f>
        <v>120</v>
      </c>
      <c r="H34" s="20" t="n">
        <f aca="false">G34*I34</f>
        <v>120</v>
      </c>
      <c r="I34" s="21" t="n">
        <v>1</v>
      </c>
      <c r="J34" s="20" t="n">
        <v>45</v>
      </c>
      <c r="K34" s="20" t="n">
        <f aca="false">J34/H34*100</f>
        <v>37.5</v>
      </c>
      <c r="L34" s="22"/>
      <c r="M34" s="23"/>
      <c r="N34" s="19" t="n">
        <v>1</v>
      </c>
      <c r="O34" s="19" t="n">
        <v>3</v>
      </c>
      <c r="P34" s="58"/>
    </row>
    <row r="35" customFormat="false" ht="15" hidden="false" customHeight="false" outlineLevel="0" collapsed="false">
      <c r="B35" s="15"/>
      <c r="C35" s="16"/>
      <c r="D35" s="54" t="s">
        <v>34</v>
      </c>
      <c r="E35" s="55" t="s">
        <v>217</v>
      </c>
      <c r="F35" s="19" t="n">
        <f aca="false">60/20*8*60</f>
        <v>1440</v>
      </c>
      <c r="G35" s="20" t="n">
        <f aca="false">F35/8</f>
        <v>180</v>
      </c>
      <c r="H35" s="20" t="n">
        <f aca="false">G35*I35</f>
        <v>450</v>
      </c>
      <c r="I35" s="21" t="n">
        <v>2.5</v>
      </c>
      <c r="J35" s="20" t="n">
        <v>350</v>
      </c>
      <c r="K35" s="20" t="n">
        <f aca="false">J35/H35*100</f>
        <v>77.7777777777778</v>
      </c>
      <c r="L35" s="22"/>
      <c r="M35" s="23"/>
      <c r="N35" s="19" t="n">
        <v>1</v>
      </c>
      <c r="O35" s="19" t="n">
        <v>2</v>
      </c>
      <c r="P35" s="58"/>
    </row>
    <row r="36" customFormat="false" ht="15" hidden="false" customHeight="false" outlineLevel="0" collapsed="false">
      <c r="B36" s="15"/>
      <c r="C36" s="16"/>
      <c r="D36" s="54" t="s">
        <v>34</v>
      </c>
      <c r="E36" s="55" t="s">
        <v>22</v>
      </c>
      <c r="F36" s="19" t="n">
        <f aca="false">60/20*8*60</f>
        <v>1440</v>
      </c>
      <c r="G36" s="20" t="n">
        <f aca="false">F36/8</f>
        <v>180</v>
      </c>
      <c r="H36" s="20" t="n">
        <f aca="false">G36*I36</f>
        <v>180</v>
      </c>
      <c r="I36" s="21" t="n">
        <v>1</v>
      </c>
      <c r="J36" s="21" t="n">
        <v>150</v>
      </c>
      <c r="K36" s="20" t="n">
        <f aca="false">J36/H36*100</f>
        <v>83.3333333333333</v>
      </c>
      <c r="L36" s="22"/>
      <c r="M36" s="83"/>
      <c r="N36" s="19" t="n">
        <v>1</v>
      </c>
      <c r="O36" s="19" t="n">
        <v>1</v>
      </c>
      <c r="P36" s="58"/>
    </row>
    <row r="37" customFormat="false" ht="15" hidden="false" customHeight="false" outlineLevel="0" collapsed="false">
      <c r="B37" s="15"/>
      <c r="C37" s="16"/>
      <c r="D37" s="54"/>
      <c r="E37" s="55"/>
      <c r="F37" s="19"/>
      <c r="G37" s="20"/>
      <c r="H37" s="20"/>
      <c r="I37" s="21"/>
      <c r="J37" s="21"/>
      <c r="K37" s="20"/>
      <c r="L37" s="20"/>
      <c r="M37" s="25"/>
      <c r="N37" s="19"/>
      <c r="O37" s="19"/>
      <c r="P37" s="58"/>
    </row>
    <row r="38" customFormat="false" ht="15" hidden="false" customHeight="false" outlineLevel="0" collapsed="false">
      <c r="B38" s="15"/>
      <c r="C38" s="16"/>
      <c r="D38" s="54"/>
      <c r="E38" s="55"/>
      <c r="F38" s="19"/>
      <c r="G38" s="20"/>
      <c r="H38" s="20"/>
      <c r="I38" s="21"/>
      <c r="J38" s="21"/>
      <c r="K38" s="20"/>
      <c r="L38" s="20"/>
      <c r="M38" s="25"/>
      <c r="N38" s="19"/>
      <c r="O38" s="19"/>
      <c r="P38" s="58"/>
    </row>
    <row r="39" customFormat="false" ht="16.5" hidden="false" customHeight="false" outlineLevel="0" collapsed="false">
      <c r="B39" s="15"/>
      <c r="C39" s="16"/>
      <c r="D39" s="40" t="s">
        <v>23</v>
      </c>
      <c r="E39" s="40"/>
      <c r="F39" s="40"/>
      <c r="G39" s="40"/>
      <c r="H39" s="49" t="n">
        <f aca="false">SUM(H31:H38)</f>
        <v>1950</v>
      </c>
      <c r="I39" s="42"/>
      <c r="J39" s="49" t="n">
        <f aca="false">SUM(J31:J38)</f>
        <v>1657</v>
      </c>
      <c r="K39" s="43"/>
      <c r="L39" s="43"/>
      <c r="M39" s="44"/>
      <c r="N39" s="43"/>
      <c r="O39" s="43"/>
      <c r="P39" s="58"/>
    </row>
    <row r="40" customFormat="false" ht="15.75" hidden="false" customHeight="false" outlineLevel="0" collapsed="false">
      <c r="B40" s="77" t="s">
        <v>78</v>
      </c>
      <c r="C40" s="77"/>
      <c r="D40" s="77"/>
      <c r="E40" s="77"/>
      <c r="F40" s="77"/>
      <c r="G40" s="77"/>
      <c r="H40" s="78" t="e">
        <f aca="false">H9+H12+H15+H18+H21+H30+H39+#REF!+#REF!+#REF!+#REF!+#REF!+#REF!</f>
        <v>#REF!</v>
      </c>
      <c r="I40" s="79" t="s">
        <v>25</v>
      </c>
      <c r="J40" s="78" t="e">
        <f aca="false">J9+J12+J15+J18+J30+J39+#REF!+#REF!+#REF!+#REF!+#REF!+#REF!+J21</f>
        <v>#REF!</v>
      </c>
      <c r="K40" s="80" t="e">
        <f aca="false">J40/H40</f>
        <v>#REF!</v>
      </c>
      <c r="L40" s="80"/>
      <c r="M40" s="81"/>
      <c r="N40" s="82" t="s">
        <v>121</v>
      </c>
      <c r="O40" s="82"/>
      <c r="P40" s="82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7">
    <mergeCell ref="B2:J3"/>
    <mergeCell ref="K2:P2"/>
    <mergeCell ref="K3:P3"/>
    <mergeCell ref="B4:B5"/>
    <mergeCell ref="C4:C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N4:O4"/>
    <mergeCell ref="P4:P5"/>
    <mergeCell ref="B6:B9"/>
    <mergeCell ref="C6:C9"/>
    <mergeCell ref="P6:P9"/>
    <mergeCell ref="D9:G9"/>
    <mergeCell ref="B10:B12"/>
    <mergeCell ref="C10:C12"/>
    <mergeCell ref="P10:P12"/>
    <mergeCell ref="D12:G12"/>
    <mergeCell ref="B13:B15"/>
    <mergeCell ref="C13:C15"/>
    <mergeCell ref="P13:P15"/>
    <mergeCell ref="D15:G15"/>
    <mergeCell ref="B16:B18"/>
    <mergeCell ref="C16:C18"/>
    <mergeCell ref="D16:O16"/>
    <mergeCell ref="P16:P18"/>
    <mergeCell ref="D18:G18"/>
    <mergeCell ref="B19:B21"/>
    <mergeCell ref="C19:C21"/>
    <mergeCell ref="P19:P21"/>
    <mergeCell ref="D21:G21"/>
    <mergeCell ref="B22:B30"/>
    <mergeCell ref="C22:C30"/>
    <mergeCell ref="P22:P30"/>
    <mergeCell ref="D30:G30"/>
    <mergeCell ref="B31:B39"/>
    <mergeCell ref="C31:C39"/>
    <mergeCell ref="P31:P39"/>
    <mergeCell ref="D39:G39"/>
    <mergeCell ref="B40:G40"/>
    <mergeCell ref="N40:P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2023-07-01T13:15:00Z</dcterms:created>
  <dc:creator>welcome</dc:creator>
  <dc:description/>
  <dc:language>en-IN</dc:language>
  <cp:lastModifiedBy/>
  <dcterms:modified xsi:type="dcterms:W3CDTF">2026-04-12T22:36:15Z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B95EB063233F4BBFA7FDB5FB35E771B8_13</vt:lpwstr>
  </property>
  <property fmtid="{D5CDD505-2E9C-101B-9397-08002B2CF9AE}" pid="3" name="KSOProductBuildVer">
    <vt:lpwstr>1033-12.2.0.22549</vt:lpwstr>
  </property>
</Properties>
</file>